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00E2955B-3E39-42CB-A0B4-C6146FD25CBF}" xr6:coauthVersionLast="47" xr6:coauthVersionMax="47" xr10:uidLastSave="{00000000-0000-0000-0000-000000000000}"/>
  <bookViews>
    <workbookView xWindow="5055" yWindow="960" windowWidth="22500" windowHeight="13725" activeTab="7" xr2:uid="{858A62D9-1599-4210-9775-AAAC6E0CE55F}"/>
  </bookViews>
  <sheets>
    <sheet name="Frequency" sheetId="2" r:id="rId1"/>
    <sheet name="Index &amp; Match" sheetId="4" r:id="rId2"/>
    <sheet name="Lookup" sheetId="3" r:id="rId3"/>
    <sheet name="SUMIF" sheetId="5" r:id="rId4"/>
    <sheet name="SUMIFS" sheetId="6" r:id="rId5"/>
    <sheet name="CountA &amp; CountBlank" sheetId="7" r:id="rId6"/>
    <sheet name="Subtotal" sheetId="8" r:id="rId7"/>
    <sheet name="Rept" sheetId="9" r:id="rId8"/>
  </sheets>
  <externalReferences>
    <externalReference r:id="rId9"/>
  </externalReferences>
  <definedNames>
    <definedName name="Commision_Rate" localSheetId="2">Lookup!$G$11</definedName>
    <definedName name="Sales_Officer" localSheetId="1">'Index &amp; Match'!$A$3:$A$14</definedName>
    <definedName name="Sales_Officer">Frequency!$A$3:$A$14</definedName>
    <definedName name="Sales_Revenue" localSheetId="1">'Index &amp; Match'!$C$3:$C$14</definedName>
    <definedName name="Sales_Revenue">Frequency!$C$3:$C$14</definedName>
    <definedName name="Tax_Payable" localSheetId="1">'Index &amp; Match'!$E$3:$E$14</definedName>
    <definedName name="Tax_Payable">Frequency!$E$3:$E$14</definedName>
    <definedName name="Tax_Rate" localSheetId="2">Lookup!$G$14</definedName>
    <definedName name="Total_Commision" localSheetId="1">'Index &amp; Match'!$D$3:$D$14</definedName>
    <definedName name="Total_Commision">Frequency!$D$3:$D$14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9" l="1"/>
  <c r="C5" i="9"/>
  <c r="C3" i="9"/>
  <c r="C2" i="9"/>
  <c r="C4" i="9"/>
  <c r="D16" i="8"/>
  <c r="D11" i="8"/>
  <c r="D6" i="8"/>
  <c r="D17" i="8" s="1"/>
  <c r="W7" i="7"/>
  <c r="W6" i="7"/>
  <c r="W3" i="7"/>
  <c r="W2" i="7"/>
  <c r="H2" i="6"/>
  <c r="H3" i="6"/>
  <c r="H4" i="6"/>
  <c r="G3" i="6"/>
  <c r="G4" i="6"/>
  <c r="G2" i="6"/>
  <c r="E4" i="5"/>
  <c r="E3" i="5"/>
  <c r="E2" i="5"/>
  <c r="F2" i="3"/>
  <c r="D2" i="4" a="1"/>
  <c r="D2" i="4" s="1"/>
  <c r="E2" i="4" s="1" a="1"/>
  <c r="E2" i="4" s="1"/>
  <c r="E2" i="2" a="1"/>
  <c r="E2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<sst xmlns="http://schemas.openxmlformats.org/spreadsheetml/2006/main" count="309" uniqueCount="72">
  <si>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</si>
  <si>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</si>
  <si>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</si>
  <si>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</si>
  <si>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</si>
  <si>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</si>
  <si>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</si>
  <si>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</si>
  <si>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</si>
  <si>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</si>
  <si>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Vinod Singh</t>
  </si>
  <si>
    <t>Kiran Katekar</t>
  </si>
  <si>
    <t>Ashok Singhania</t>
  </si>
  <si>
    <t>Viresh Pal</t>
  </si>
  <si>
    <t>Vinod Kelkar</t>
  </si>
  <si>
    <t>Zora Shaikh</t>
  </si>
  <si>
    <t>Abdul Shaikh</t>
  </si>
  <si>
    <t>Ravi Verman</t>
  </si>
  <si>
    <t>Kiran Bhor</t>
  </si>
  <si>
    <t>Unique</t>
  </si>
  <si>
    <t>Frequency</t>
  </si>
  <si>
    <t>Emp. ID</t>
  </si>
  <si>
    <t>Name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</si>
  <si>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</si>
  <si>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</si>
  <si>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</si>
  <si>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</si>
  <si>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</si>
  <si>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</si>
  <si>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</si>
  <si>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</si>
  <si>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</si>
  <si>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</si>
  <si>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</si>
  <si>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</si>
  <si>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</si>
  <si>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</si>
  <si>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</si>
  <si>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Date</t>
  </si>
  <si>
    <t>Transction Type</t>
  </si>
  <si>
    <t>Debit/Credit</t>
  </si>
  <si>
    <t>Amount</t>
  </si>
  <si>
    <t>Online</t>
  </si>
  <si>
    <t>Debit</t>
  </si>
  <si>
    <t>Cash</t>
  </si>
  <si>
    <t>Credit</t>
  </si>
  <si>
    <t>Debit Card</t>
  </si>
  <si>
    <t>TOTAL</t>
  </si>
  <si>
    <t>DEBIT</t>
  </si>
  <si>
    <t>CREDIT</t>
  </si>
  <si>
    <t>ONLINE</t>
  </si>
  <si>
    <t>CASH</t>
  </si>
  <si>
    <t>DEBIT CARD</t>
  </si>
  <si>
    <t>SEMINAR SEAT BOOKINGS</t>
  </si>
  <si>
    <t>F</t>
  </si>
  <si>
    <t>M</t>
  </si>
  <si>
    <t>Booked</t>
  </si>
  <si>
    <t>Pending</t>
  </si>
  <si>
    <t xml:space="preserve">Male </t>
  </si>
  <si>
    <t>Female</t>
  </si>
  <si>
    <t>Cash Total</t>
  </si>
  <si>
    <t>Debit Card Total</t>
  </si>
  <si>
    <t>Online Total</t>
  </si>
  <si>
    <t>Grand Total</t>
  </si>
  <si>
    <t>Software</t>
  </si>
  <si>
    <t>Ratings</t>
  </si>
  <si>
    <t>Star</t>
  </si>
  <si>
    <t>Excel</t>
  </si>
  <si>
    <t>Tally</t>
  </si>
  <si>
    <t>Photoshop</t>
  </si>
  <si>
    <t>Word</t>
  </si>
  <si>
    <t>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</si>
</sst>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22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Times New Roman"/>
      <family val="1"/>
    </font>
    <font>
      <sz val="16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Calibri"/>
      <family val="2"/>
    </font>
    <font>
      <sz val="16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4E7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0" fontId="7" fillId="0" borderId="0" xfId="0" applyFont="1"/>
    <xf numFmtId="0" fontId="8" fillId="0" borderId="0" xfId="0" applyFont="1" applyBorder="1" applyAlignment="1">
      <alignment horizontal="center" vertical="center" wrapText="1"/>
    </xf>
    <xf numFmtId="0" fontId="9" fillId="0" borderId="0" xfId="0" applyFont="1"/>
    <xf numFmtId="0" fontId="9" fillId="3" borderId="1" xfId="0" applyFont="1" applyFill="1" applyBorder="1"/>
    <xf numFmtId="0" fontId="0" fillId="0" borderId="1" xfId="0" applyBorder="1"/>
    <xf numFmtId="0" fontId="11" fillId="4" borderId="1" xfId="0" applyFont="1" applyFill="1" applyBorder="1" applyAlignment="1">
      <alignment horizontal="center" vertical="center"/>
    </xf>
    <xf numFmtId="43" fontId="11" fillId="4" borderId="1" xfId="1" applyFont="1" applyFill="1" applyBorder="1" applyAlignment="1">
      <alignment horizontal="center" vertical="center"/>
    </xf>
    <xf numFmtId="43" fontId="12" fillId="0" borderId="1" xfId="1" applyFont="1" applyBorder="1"/>
    <xf numFmtId="0" fontId="6" fillId="0" borderId="1" xfId="0" applyFont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3" fillId="5" borderId="2" xfId="0" applyFont="1" applyFill="1" applyBorder="1"/>
    <xf numFmtId="0" fontId="14" fillId="0" borderId="1" xfId="0" applyFont="1" applyBorder="1"/>
    <xf numFmtId="0" fontId="15" fillId="0" borderId="0" xfId="0" applyFont="1"/>
    <xf numFmtId="0" fontId="16" fillId="6" borderId="3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0" borderId="6" xfId="0" applyFont="1" applyBorder="1"/>
    <xf numFmtId="0" fontId="16" fillId="0" borderId="1" xfId="0" applyFont="1" applyBorder="1"/>
    <xf numFmtId="0" fontId="14" fillId="7" borderId="1" xfId="0" applyFont="1" applyFill="1" applyBorder="1"/>
    <xf numFmtId="0" fontId="0" fillId="7" borderId="1" xfId="0" applyFill="1" applyBorder="1"/>
    <xf numFmtId="0" fontId="16" fillId="7" borderId="1" xfId="0" applyFont="1" applyFill="1" applyBorder="1"/>
    <xf numFmtId="0" fontId="0" fillId="7" borderId="0" xfId="0" applyFill="1" applyBorder="1"/>
    <xf numFmtId="0" fontId="14" fillId="7" borderId="0" xfId="0" applyFont="1" applyFill="1" applyBorder="1"/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14" fontId="6" fillId="0" borderId="0" xfId="0" applyNumberFormat="1" applyFont="1" applyBorder="1" applyAlignment="1">
      <alignment horizontal="left"/>
    </xf>
    <xf numFmtId="0" fontId="17" fillId="0" borderId="0" xfId="0" applyFont="1" applyBorder="1"/>
    <xf numFmtId="0" fontId="6" fillId="0" borderId="0" xfId="0" applyFont="1" applyBorder="1"/>
    <xf numFmtId="0" fontId="17" fillId="8" borderId="1" xfId="0" applyFont="1" applyFill="1" applyBorder="1"/>
    <xf numFmtId="0" fontId="6" fillId="8" borderId="1" xfId="0" applyFont="1" applyFill="1" applyBorder="1"/>
    <xf numFmtId="15" fontId="6" fillId="0" borderId="1" xfId="0" applyNumberFormat="1" applyFont="1" applyBorder="1" applyAlignment="1">
      <alignment horizontal="left"/>
    </xf>
    <xf numFmtId="15" fontId="6" fillId="0" borderId="0" xfId="0" applyNumberFormat="1" applyFont="1" applyBorder="1" applyAlignment="1">
      <alignment horizontal="left"/>
    </xf>
    <xf numFmtId="15" fontId="6" fillId="8" borderId="1" xfId="0" applyNumberFormat="1" applyFont="1" applyFill="1" applyBorder="1" applyAlignment="1">
      <alignment horizontal="left"/>
    </xf>
    <xf numFmtId="0" fontId="18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Excel%20Tutorial%20Video\Satis%20Dehwale\Practice%20Files\Lesson%20No.13%20-%2031%20Excel%20Formulas\31%20Powerful%20Excel%20Formulas.xlsx" TargetMode="External"/><Relationship Id="rId1" Type="http://schemas.openxmlformats.org/officeDocument/2006/relationships/externalLinkPath" Target="file:///I:\Excel%20Tutorial%20Video\Satis%20Dehwale\Practice%20Files\Lesson%20No.13%20-%2031%20Excel%20Formulas\31%20Powerful%20Excel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EQUENCY"/>
      <sheetName val="INDEX &amp; MATCH"/>
      <sheetName val="LOOKUP"/>
      <sheetName val="VLOOKUP"/>
      <sheetName val="HLOOKUP"/>
      <sheetName val="SUMIF"/>
      <sheetName val="SUMIFS"/>
      <sheetName val="COUNTIF"/>
      <sheetName val="COUNTIFS"/>
      <sheetName val="COUNTA &amp; COUNT BLANK"/>
      <sheetName val="AVERAGEIF AND AVERAGE IFS"/>
      <sheetName val="SUBTOTAL"/>
      <sheetName val="SUMPRODUCT"/>
      <sheetName val="IF FORMULA"/>
      <sheetName val="IF AND IF OR"/>
      <sheetName val="NESTED IF"/>
      <sheetName val="LEFT, MID, RIGHT, FIND "/>
      <sheetName val="REPEAT"/>
      <sheetName val="SUBSTITUTE"/>
      <sheetName val="PMT,IPMT,PPMT,PV,F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E102"/>
  <sheetViews>
    <sheetView topLeftCell="A2" zoomScale="80" zoomScaleNormal="80" workbookViewId="0">
      <selection activeCell="A2" sqref="A2:C21"/>
    </sheetView>
  </sheetViews>
  <sheetFormatPr defaultRowHeight="15" x14ac:dyDescent="0.25"/>
  <cols>
    <col min="1" max="1" width="14.140625" customWidth="1"/>
    <col min="2" max="2" width="30.140625" customWidth="1"/>
    <col min="3" max="3" width="13.5703125" customWidth="1"/>
    <col min="4" max="4" width="23.5703125" customWidth="1"/>
    <col min="5" max="5" width="21.140625" customWidth="1"/>
    <col min="6" max="6" width="11.42578125" customWidth="1"/>
    <col min="7" max="7" width="21.140625" customWidth="1"/>
    <col min="8" max="8" width="32.5703125" customWidth="1"/>
    <col min="9" max="9" width="17.42578125" bestFit="1" customWidth="1"/>
  </cols>
  <sheetData>
    <row r="1" spans="1:5" ht="40.15" customHeight="1" x14ac:dyDescent="0.25">
      <c r="A1" s="4" t="s">
        <v>0</v>
      </c>
      <c r="B1" s="4" t="s">
        <v>1</v>
      </c>
      <c r="C1" s="4" t="s">
        <v>2</v>
      </c>
      <c r="D1" s="4" t="s">
        <v>19</v>
      </c>
      <c r="E1" s="4" t="s">
        <v>20</v>
      </c>
    </row>
    <row r="2" spans="1:5" ht="26.1" customHeight="1" x14ac:dyDescent="0.35">
      <c r="A2" s="5">
        <v>1</v>
      </c>
      <c r="B2" s="5" t="s">
        <v>3</v>
      </c>
      <c r="C2" s="5">
        <v>29</v>
      </c>
      <c r="D2" s="6" cm="1">
        <f t="array" ref="D2:D8">_xlfn.UNIQUE(C2:C21)</f>
        <v>29</v>
      </c>
      <c r="E2" s="6" cm="1">
        <f t="array" ref="E2:E8">FREQUENCY(C2:C21,D2:D7)</f>
        <v>5</v>
      </c>
    </row>
    <row r="3" spans="1:5" ht="20.65" customHeight="1" x14ac:dyDescent="0.35">
      <c r="A3" s="5">
        <v>2</v>
      </c>
      <c r="B3" s="5" t="s">
        <v>4</v>
      </c>
      <c r="C3" s="5">
        <v>20</v>
      </c>
      <c r="D3" s="6">
        <v>20</v>
      </c>
      <c r="E3" s="6">
        <v>4</v>
      </c>
    </row>
    <row r="4" spans="1:5" ht="20.65" customHeight="1" x14ac:dyDescent="0.35">
      <c r="A4" s="5">
        <v>3</v>
      </c>
      <c r="B4" s="5" t="s">
        <v>5</v>
      </c>
      <c r="C4" s="5">
        <v>33</v>
      </c>
      <c r="D4" s="6">
        <v>33</v>
      </c>
      <c r="E4" s="6">
        <v>2</v>
      </c>
    </row>
    <row r="5" spans="1:5" ht="20.65" customHeight="1" x14ac:dyDescent="0.35">
      <c r="A5" s="5">
        <v>4</v>
      </c>
      <c r="B5" s="5" t="s">
        <v>6</v>
      </c>
      <c r="C5" s="5">
        <v>20</v>
      </c>
      <c r="D5" s="6">
        <v>21</v>
      </c>
      <c r="E5" s="6">
        <v>2</v>
      </c>
    </row>
    <row r="6" spans="1:5" ht="20.65" customHeight="1" x14ac:dyDescent="0.35">
      <c r="A6" s="5">
        <v>5</v>
      </c>
      <c r="B6" s="5" t="s">
        <v>7</v>
      </c>
      <c r="C6" s="5">
        <v>29</v>
      </c>
      <c r="D6" s="6">
        <v>28</v>
      </c>
      <c r="E6" s="6">
        <v>3</v>
      </c>
    </row>
    <row r="7" spans="1:5" ht="20.65" customHeight="1" x14ac:dyDescent="0.35">
      <c r="A7" s="5">
        <v>6</v>
      </c>
      <c r="B7" s="5" t="s">
        <v>8</v>
      </c>
      <c r="C7" s="5">
        <v>33</v>
      </c>
      <c r="D7" s="6">
        <v>27</v>
      </c>
      <c r="E7" s="6">
        <v>4</v>
      </c>
    </row>
    <row r="8" spans="1:5" ht="20.65" customHeight="1" x14ac:dyDescent="0.35">
      <c r="A8" s="5">
        <v>7</v>
      </c>
      <c r="B8" s="5" t="s">
        <v>9</v>
      </c>
      <c r="C8" s="5">
        <v>21</v>
      </c>
      <c r="D8" s="6">
        <v>23</v>
      </c>
      <c r="E8" s="6">
        <v>0</v>
      </c>
    </row>
    <row r="9" spans="1:5" ht="20.65" customHeight="1" x14ac:dyDescent="0.35">
      <c r="A9" s="5">
        <v>8</v>
      </c>
      <c r="B9" s="5" t="s">
        <v>10</v>
      </c>
      <c r="C9" s="5">
        <v>29</v>
      </c>
      <c r="D9" s="6"/>
      <c r="E9" s="7"/>
    </row>
    <row r="10" spans="1:5" ht="20.65" customHeight="1" x14ac:dyDescent="0.35">
      <c r="A10" s="5">
        <v>5</v>
      </c>
      <c r="B10" s="5" t="s">
        <v>7</v>
      </c>
      <c r="C10" s="5">
        <v>29</v>
      </c>
      <c r="D10" s="6"/>
      <c r="E10" s="7"/>
    </row>
    <row r="11" spans="1:5" ht="20.65" customHeight="1" x14ac:dyDescent="0.35">
      <c r="A11" s="5">
        <v>10</v>
      </c>
      <c r="B11" s="5" t="s">
        <v>11</v>
      </c>
      <c r="C11" s="5">
        <v>28</v>
      </c>
      <c r="D11" s="6"/>
      <c r="E11" s="7"/>
    </row>
    <row r="12" spans="1:5" ht="21.2" customHeight="1" x14ac:dyDescent="0.35">
      <c r="A12" s="5">
        <v>11</v>
      </c>
      <c r="B12" s="5" t="s">
        <v>12</v>
      </c>
      <c r="C12" s="5">
        <v>20</v>
      </c>
      <c r="D12" s="6"/>
      <c r="E12" s="7"/>
    </row>
    <row r="13" spans="1:5" ht="21.2" customHeight="1" x14ac:dyDescent="0.35">
      <c r="A13" s="5">
        <v>12</v>
      </c>
      <c r="B13" s="5" t="s">
        <v>13</v>
      </c>
      <c r="C13" s="5">
        <v>27</v>
      </c>
      <c r="D13" s="6"/>
      <c r="E13" s="7"/>
    </row>
    <row r="14" spans="1:5" ht="21.2" customHeight="1" x14ac:dyDescent="0.35">
      <c r="A14" s="5">
        <v>13</v>
      </c>
      <c r="B14" s="5" t="s">
        <v>14</v>
      </c>
      <c r="C14" s="5">
        <v>21</v>
      </c>
      <c r="D14" s="6"/>
      <c r="E14" s="7"/>
    </row>
    <row r="15" spans="1:5" ht="21.2" customHeight="1" x14ac:dyDescent="0.35">
      <c r="A15" s="5">
        <v>10</v>
      </c>
      <c r="B15" s="5" t="s">
        <v>11</v>
      </c>
      <c r="C15" s="5">
        <v>28</v>
      </c>
      <c r="D15" s="6"/>
      <c r="E15" s="7"/>
    </row>
    <row r="16" spans="1:5" ht="21.2" customHeight="1" x14ac:dyDescent="0.35">
      <c r="A16" s="5">
        <v>15</v>
      </c>
      <c r="B16" s="5" t="s">
        <v>15</v>
      </c>
      <c r="C16" s="5">
        <v>27</v>
      </c>
      <c r="D16" s="6"/>
      <c r="E16" s="7"/>
    </row>
    <row r="17" spans="1:5" ht="21.2" customHeight="1" x14ac:dyDescent="0.35">
      <c r="A17" s="5">
        <v>16</v>
      </c>
      <c r="B17" s="5" t="s">
        <v>16</v>
      </c>
      <c r="C17" s="5">
        <v>20</v>
      </c>
      <c r="D17" s="6"/>
      <c r="E17" s="7"/>
    </row>
    <row r="18" spans="1:5" ht="21.2" customHeight="1" x14ac:dyDescent="0.35">
      <c r="A18" s="5">
        <v>5</v>
      </c>
      <c r="B18" s="5" t="s">
        <v>7</v>
      </c>
      <c r="C18" s="5">
        <v>29</v>
      </c>
      <c r="D18" s="6"/>
      <c r="E18" s="7"/>
    </row>
    <row r="19" spans="1:5" ht="21.2" customHeight="1" x14ac:dyDescent="0.35">
      <c r="A19" s="5">
        <v>10</v>
      </c>
      <c r="B19" s="5" t="s">
        <v>11</v>
      </c>
      <c r="C19" s="5">
        <v>28</v>
      </c>
      <c r="D19" s="6"/>
      <c r="E19" s="7"/>
    </row>
    <row r="20" spans="1:5" ht="21.2" customHeight="1" x14ac:dyDescent="0.35">
      <c r="A20" s="5">
        <v>19</v>
      </c>
      <c r="B20" s="5" t="s">
        <v>17</v>
      </c>
      <c r="C20" s="5">
        <v>27</v>
      </c>
      <c r="D20" s="6"/>
      <c r="E20" s="7"/>
    </row>
    <row r="21" spans="1:5" ht="21.2" customHeight="1" x14ac:dyDescent="0.35">
      <c r="A21" s="5">
        <v>20</v>
      </c>
      <c r="B21" s="5" t="s">
        <v>18</v>
      </c>
      <c r="C21" s="5">
        <v>23</v>
      </c>
      <c r="D21" s="6"/>
      <c r="E21" s="7"/>
    </row>
    <row r="22" spans="1:5" ht="21.2" customHeight="1" x14ac:dyDescent="0.35">
      <c r="A22" s="8"/>
      <c r="B22" s="8"/>
      <c r="C22" s="7"/>
      <c r="D22" s="7"/>
      <c r="E22" s="7"/>
    </row>
    <row r="23" spans="1:5" ht="21.2" customHeight="1" x14ac:dyDescent="0.25">
      <c r="A23" s="1"/>
      <c r="B23" s="1"/>
    </row>
    <row r="24" spans="1:5" ht="21.2" customHeight="1" x14ac:dyDescent="0.25">
      <c r="A24" s="1"/>
      <c r="B24" s="1"/>
    </row>
    <row r="25" spans="1:5" ht="21.2" customHeight="1" x14ac:dyDescent="0.25">
      <c r="A25" s="1"/>
      <c r="B25" s="1"/>
    </row>
    <row r="26" spans="1:5" ht="21.2" customHeight="1" x14ac:dyDescent="0.25">
      <c r="A26" s="1"/>
      <c r="B26" s="1"/>
    </row>
    <row r="27" spans="1:5" ht="21.2" customHeight="1" x14ac:dyDescent="0.25">
      <c r="A27" s="1"/>
      <c r="B27" s="1"/>
    </row>
    <row r="28" spans="1:5" ht="21.2" customHeight="1" x14ac:dyDescent="0.25">
      <c r="A28" s="1"/>
      <c r="B28" s="1"/>
      <c r="C28" s="2"/>
      <c r="D28" s="2"/>
      <c r="E28" s="2"/>
    </row>
    <row r="29" spans="1:5" ht="21.2" customHeight="1" x14ac:dyDescent="0.25">
      <c r="A29" s="1"/>
      <c r="B29" s="1"/>
      <c r="C29" s="2"/>
      <c r="D29" s="2"/>
      <c r="E29" s="2"/>
    </row>
    <row r="30" spans="1:5" ht="21.2" customHeight="1" x14ac:dyDescent="0.25">
      <c r="A30" s="1"/>
      <c r="B30" s="1"/>
      <c r="C30" s="2"/>
      <c r="D30" s="2"/>
      <c r="E30" s="2"/>
    </row>
    <row r="31" spans="1:5" ht="21.2" customHeight="1" x14ac:dyDescent="0.25">
      <c r="A31" s="1"/>
      <c r="B31" s="1"/>
      <c r="C31" s="2"/>
      <c r="D31" s="2"/>
      <c r="E31" s="2"/>
    </row>
    <row r="32" spans="1:5" ht="21.2" customHeight="1" x14ac:dyDescent="0.25">
      <c r="A32" s="1"/>
      <c r="B32" s="1"/>
      <c r="C32" s="2"/>
      <c r="D32" s="2"/>
      <c r="E32" s="2"/>
    </row>
    <row r="33" spans="1:5" ht="21.2" customHeight="1" x14ac:dyDescent="0.25">
      <c r="A33" s="1"/>
      <c r="B33" s="1"/>
      <c r="C33" s="2"/>
      <c r="D33" s="2"/>
      <c r="E33" s="2"/>
    </row>
    <row r="34" spans="1:5" ht="21.2" customHeight="1" x14ac:dyDescent="0.25">
      <c r="A34" s="1"/>
      <c r="B34" s="1"/>
      <c r="C34" s="2"/>
      <c r="D34" s="2"/>
      <c r="E34" s="2"/>
    </row>
    <row r="35" spans="1:5" ht="21.2" customHeight="1" x14ac:dyDescent="0.25">
      <c r="A35" s="1"/>
      <c r="B35" s="1"/>
      <c r="C35" s="2"/>
      <c r="D35" s="2"/>
      <c r="E35" s="2"/>
    </row>
    <row r="36" spans="1:5" ht="21.2" customHeight="1" x14ac:dyDescent="0.25">
      <c r="A36" s="1"/>
      <c r="B36" s="1"/>
      <c r="C36" s="2"/>
      <c r="D36" s="2"/>
      <c r="E36" s="2"/>
    </row>
    <row r="37" spans="1:5" ht="21.2" customHeight="1" x14ac:dyDescent="0.25">
      <c r="A37" s="1"/>
      <c r="B37" s="1"/>
      <c r="C37" s="2"/>
      <c r="D37" s="2"/>
      <c r="E37" s="2"/>
    </row>
    <row r="38" spans="1:5" ht="21.2" customHeight="1" x14ac:dyDescent="0.25">
      <c r="A38" s="1"/>
      <c r="B38" s="1"/>
      <c r="C38" s="2"/>
      <c r="D38" s="2"/>
      <c r="E38" s="2"/>
    </row>
    <row r="39" spans="1:5" ht="21.2" customHeight="1" x14ac:dyDescent="0.25">
      <c r="A39" s="1"/>
      <c r="B39" s="1"/>
      <c r="C39" s="2"/>
      <c r="D39" s="2"/>
      <c r="E39" s="2"/>
    </row>
    <row r="40" spans="1:5" ht="21.2" customHeight="1" x14ac:dyDescent="0.25">
      <c r="A40" s="1"/>
      <c r="B40" s="1"/>
      <c r="C40" s="2"/>
      <c r="D40" s="2"/>
      <c r="E40" s="2"/>
    </row>
    <row r="41" spans="1:5" ht="21.2" customHeight="1" x14ac:dyDescent="0.25">
      <c r="A41" s="1"/>
      <c r="B41" s="1"/>
      <c r="C41" s="2"/>
      <c r="D41" s="2"/>
      <c r="E41" s="2"/>
    </row>
    <row r="42" spans="1:5" ht="21.2" customHeight="1" x14ac:dyDescent="0.25">
      <c r="A42" s="1"/>
      <c r="B42" s="1"/>
      <c r="C42" s="2"/>
      <c r="D42" s="2"/>
      <c r="E42" s="2"/>
    </row>
    <row r="43" spans="1:5" ht="21.2" customHeight="1" x14ac:dyDescent="0.25">
      <c r="A43" s="1"/>
      <c r="B43" s="1"/>
      <c r="C43" s="2"/>
      <c r="D43" s="2"/>
      <c r="E43" s="2"/>
    </row>
    <row r="44" spans="1:5" ht="21.2" customHeight="1" x14ac:dyDescent="0.25">
      <c r="A44" s="1"/>
      <c r="B44" s="1"/>
      <c r="C44" s="2"/>
      <c r="D44" s="2"/>
      <c r="E44" s="2"/>
    </row>
    <row r="45" spans="1:5" ht="21.2" customHeight="1" x14ac:dyDescent="0.25">
      <c r="A45" s="1"/>
      <c r="B45" s="1"/>
      <c r="C45" s="2"/>
      <c r="D45" s="2"/>
      <c r="E45" s="2"/>
    </row>
    <row r="46" spans="1:5" ht="21.2" customHeight="1" x14ac:dyDescent="0.25">
      <c r="A46" s="1"/>
      <c r="B46" s="1"/>
      <c r="C46" s="2"/>
      <c r="D46" s="2"/>
      <c r="E46" s="2"/>
    </row>
    <row r="47" spans="1:5" ht="21.2" customHeight="1" x14ac:dyDescent="0.25">
      <c r="A47" s="1"/>
      <c r="B47" s="1"/>
      <c r="C47" s="2"/>
      <c r="D47" s="2"/>
      <c r="E47" s="2"/>
    </row>
    <row r="48" spans="1:5" ht="21.2" customHeight="1" x14ac:dyDescent="0.25">
      <c r="A48" s="1"/>
      <c r="B48" s="1"/>
      <c r="C48" s="2"/>
      <c r="D48" s="2"/>
      <c r="E48" s="2"/>
    </row>
    <row r="49" spans="1:5" ht="21.2" customHeight="1" x14ac:dyDescent="0.25">
      <c r="A49" s="1"/>
      <c r="B49" s="1"/>
      <c r="C49" s="2"/>
      <c r="D49" s="2"/>
      <c r="E49" s="2"/>
    </row>
    <row r="50" spans="1:5" ht="21.2" customHeight="1" x14ac:dyDescent="0.25">
      <c r="A50" s="1"/>
      <c r="B50" s="1"/>
      <c r="C50" s="2"/>
      <c r="D50" s="2"/>
      <c r="E50" s="2"/>
    </row>
    <row r="51" spans="1:5" ht="21.2" customHeight="1" x14ac:dyDescent="0.25">
      <c r="A51" s="1"/>
      <c r="B51" s="1"/>
      <c r="C51" s="2"/>
      <c r="D51" s="2"/>
      <c r="E51" s="2"/>
    </row>
    <row r="52" spans="1:5" ht="21.2" customHeight="1" x14ac:dyDescent="0.25">
      <c r="A52" s="1"/>
      <c r="B52" s="1"/>
      <c r="C52" s="2"/>
      <c r="D52" s="2"/>
      <c r="E52" s="2"/>
    </row>
    <row r="53" spans="1:5" ht="21.2" customHeight="1" x14ac:dyDescent="0.25">
      <c r="A53" s="1"/>
      <c r="B53" s="1"/>
      <c r="C53" s="2"/>
      <c r="D53" s="2"/>
      <c r="E53" s="2"/>
    </row>
    <row r="54" spans="1:5" ht="21.2" customHeight="1" x14ac:dyDescent="0.25">
      <c r="A54" s="1"/>
      <c r="B54" s="1"/>
      <c r="C54" s="2"/>
      <c r="D54" s="2"/>
      <c r="E54" s="2"/>
    </row>
    <row r="55" spans="1:5" ht="21.2" customHeight="1" x14ac:dyDescent="0.25">
      <c r="A55" s="1"/>
      <c r="B55" s="1"/>
      <c r="C55" s="2"/>
      <c r="D55" s="2"/>
      <c r="E55" s="2"/>
    </row>
    <row r="56" spans="1:5" ht="21.2" customHeight="1" x14ac:dyDescent="0.25">
      <c r="A56" s="1"/>
      <c r="B56" s="1"/>
      <c r="C56" s="2"/>
      <c r="D56" s="2"/>
      <c r="E56" s="2"/>
    </row>
    <row r="57" spans="1:5" ht="15.75" x14ac:dyDescent="0.25">
      <c r="A57" s="1"/>
      <c r="B57" s="1"/>
      <c r="C57" s="2"/>
      <c r="D57" s="2"/>
      <c r="E57" s="2"/>
    </row>
    <row r="58" spans="1:5" ht="15.75" x14ac:dyDescent="0.25">
      <c r="A58" s="1"/>
      <c r="B58" s="1"/>
      <c r="C58" s="2"/>
      <c r="D58" s="2"/>
      <c r="E58" s="2"/>
    </row>
    <row r="59" spans="1:5" ht="15.75" x14ac:dyDescent="0.25">
      <c r="A59" s="1"/>
      <c r="B59" s="1"/>
      <c r="C59" s="2"/>
      <c r="D59" s="2"/>
      <c r="E59" s="2"/>
    </row>
    <row r="60" spans="1:5" ht="15.75" x14ac:dyDescent="0.25">
      <c r="A60" s="1"/>
      <c r="B60" s="1"/>
      <c r="C60" s="2"/>
      <c r="D60" s="2"/>
      <c r="E60" s="2"/>
    </row>
    <row r="61" spans="1:5" ht="15.75" x14ac:dyDescent="0.25">
      <c r="A61" s="1"/>
      <c r="B61" s="1"/>
      <c r="C61" s="2"/>
      <c r="D61" s="2"/>
      <c r="E61" s="2"/>
    </row>
    <row r="62" spans="1:5" ht="15.75" x14ac:dyDescent="0.25">
      <c r="A62" s="1"/>
      <c r="B62" s="1"/>
      <c r="C62" s="2"/>
      <c r="D62" s="2"/>
      <c r="E62" s="2"/>
    </row>
    <row r="63" spans="1:5" ht="15.75" x14ac:dyDescent="0.25">
      <c r="A63" s="1"/>
      <c r="B63" s="1"/>
      <c r="C63" s="2"/>
      <c r="D63" s="2"/>
      <c r="E63" s="2"/>
    </row>
    <row r="64" spans="1:5" ht="15.75" x14ac:dyDescent="0.25">
      <c r="A64" s="1"/>
      <c r="B64" s="1"/>
      <c r="C64" s="2"/>
      <c r="D64" s="2"/>
      <c r="E64" s="2"/>
    </row>
    <row r="65" spans="1:5" ht="15.75" x14ac:dyDescent="0.25">
      <c r="A65" s="1"/>
      <c r="B65" s="1"/>
      <c r="C65" s="2"/>
      <c r="D65" s="2"/>
      <c r="E65" s="2"/>
    </row>
    <row r="66" spans="1:5" ht="15.75" x14ac:dyDescent="0.25">
      <c r="A66" s="1"/>
      <c r="B66" s="1"/>
      <c r="C66" s="2"/>
      <c r="D66" s="2"/>
      <c r="E66" s="2"/>
    </row>
    <row r="67" spans="1:5" ht="15.75" x14ac:dyDescent="0.25">
      <c r="A67" s="1"/>
      <c r="B67" s="1"/>
      <c r="C67" s="2"/>
      <c r="D67" s="2"/>
      <c r="E67" s="2"/>
    </row>
    <row r="68" spans="1:5" ht="15.75" x14ac:dyDescent="0.25">
      <c r="A68" s="1"/>
      <c r="B68" s="1"/>
      <c r="C68" s="2"/>
      <c r="D68" s="2"/>
      <c r="E68" s="2"/>
    </row>
    <row r="69" spans="1:5" ht="15.75" x14ac:dyDescent="0.25">
      <c r="A69" s="1"/>
      <c r="B69" s="1"/>
      <c r="C69" s="2"/>
      <c r="D69" s="2"/>
      <c r="E69" s="2"/>
    </row>
    <row r="70" spans="1:5" ht="15.75" x14ac:dyDescent="0.25">
      <c r="A70" s="1"/>
      <c r="B70" s="1"/>
      <c r="C70" s="2"/>
      <c r="D70" s="2"/>
      <c r="E70" s="2"/>
    </row>
    <row r="71" spans="1:5" ht="15.75" x14ac:dyDescent="0.25">
      <c r="A71" s="1"/>
      <c r="B71" s="1"/>
      <c r="C71" s="2"/>
      <c r="D71" s="2"/>
      <c r="E71" s="2"/>
    </row>
    <row r="72" spans="1:5" ht="15.75" x14ac:dyDescent="0.25">
      <c r="A72" s="1"/>
      <c r="B72" s="1"/>
      <c r="C72" s="2"/>
      <c r="D72" s="2"/>
      <c r="E72" s="2"/>
    </row>
    <row r="73" spans="1:5" ht="15.75" x14ac:dyDescent="0.25">
      <c r="A73" s="1"/>
      <c r="B73" s="1"/>
      <c r="C73" s="2"/>
      <c r="D73" s="2"/>
      <c r="E73" s="2"/>
    </row>
    <row r="74" spans="1:5" ht="15.75" x14ac:dyDescent="0.25">
      <c r="A74" s="1"/>
      <c r="B74" s="1"/>
      <c r="C74" s="2"/>
      <c r="D74" s="2"/>
      <c r="E74" s="2"/>
    </row>
    <row r="75" spans="1:5" ht="15.75" x14ac:dyDescent="0.25">
      <c r="A75" s="1"/>
      <c r="B75" s="1"/>
      <c r="C75" s="2"/>
      <c r="D75" s="2"/>
      <c r="E75" s="2"/>
    </row>
    <row r="76" spans="1:5" ht="15.75" x14ac:dyDescent="0.25">
      <c r="A76" s="1"/>
      <c r="B76" s="1"/>
      <c r="C76" s="2"/>
      <c r="D76" s="2"/>
      <c r="E76" s="2"/>
    </row>
    <row r="77" spans="1:5" ht="15.75" x14ac:dyDescent="0.25">
      <c r="A77" s="1"/>
      <c r="B77" s="1"/>
      <c r="C77" s="2"/>
      <c r="D77" s="2"/>
      <c r="E77" s="2"/>
    </row>
    <row r="78" spans="1:5" ht="15.75" x14ac:dyDescent="0.25">
      <c r="A78" s="1"/>
      <c r="B78" s="1"/>
      <c r="C78" s="2"/>
      <c r="D78" s="2"/>
      <c r="E78" s="2"/>
    </row>
    <row r="79" spans="1:5" ht="15.75" x14ac:dyDescent="0.25">
      <c r="A79" s="1"/>
      <c r="B79" s="1"/>
      <c r="C79" s="2"/>
      <c r="D79" s="2"/>
      <c r="E79" s="2"/>
    </row>
    <row r="80" spans="1:5" ht="15.75" x14ac:dyDescent="0.25">
      <c r="A80" s="1"/>
      <c r="B80" s="1"/>
      <c r="C80" s="2"/>
      <c r="D80" s="2"/>
      <c r="E80" s="2"/>
    </row>
    <row r="81" spans="1:5" ht="15.75" x14ac:dyDescent="0.25">
      <c r="A81" s="1"/>
      <c r="B81" s="1"/>
      <c r="C81" s="2"/>
      <c r="D81" s="2"/>
      <c r="E81" s="2"/>
    </row>
    <row r="82" spans="1:5" ht="15.75" x14ac:dyDescent="0.25">
      <c r="A82" s="1"/>
      <c r="B82" s="1"/>
      <c r="C82" s="2"/>
      <c r="D82" s="2"/>
      <c r="E82" s="2"/>
    </row>
    <row r="83" spans="1:5" ht="15.75" x14ac:dyDescent="0.25">
      <c r="A83" s="1"/>
      <c r="B83" s="1"/>
      <c r="C83" s="2"/>
      <c r="D83" s="2"/>
      <c r="E83" s="2"/>
    </row>
    <row r="84" spans="1:5" ht="15.75" x14ac:dyDescent="0.25">
      <c r="A84" s="1"/>
      <c r="B84" s="1"/>
      <c r="C84" s="2"/>
      <c r="D84" s="2"/>
      <c r="E84" s="2"/>
    </row>
    <row r="85" spans="1:5" ht="15.75" x14ac:dyDescent="0.25">
      <c r="A85" s="1"/>
      <c r="B85" s="1"/>
      <c r="C85" s="2"/>
      <c r="D85" s="2"/>
      <c r="E85" s="2"/>
    </row>
    <row r="86" spans="1:5" ht="15.75" x14ac:dyDescent="0.25">
      <c r="A86" s="1"/>
      <c r="B86" s="1"/>
      <c r="C86" s="2"/>
      <c r="D86" s="2"/>
      <c r="E86" s="2"/>
    </row>
    <row r="87" spans="1:5" ht="15.75" x14ac:dyDescent="0.25">
      <c r="A87" s="1"/>
      <c r="B87" s="1"/>
      <c r="C87" s="2"/>
      <c r="D87" s="2"/>
      <c r="E87" s="2"/>
    </row>
    <row r="88" spans="1:5" ht="15.75" x14ac:dyDescent="0.25">
      <c r="A88" s="1"/>
      <c r="B88" s="1"/>
      <c r="C88" s="2"/>
      <c r="D88" s="2"/>
      <c r="E88" s="2"/>
    </row>
    <row r="89" spans="1:5" ht="15.75" x14ac:dyDescent="0.25">
      <c r="A89" s="1"/>
      <c r="B89" s="1"/>
      <c r="C89" s="2"/>
      <c r="D89" s="2"/>
      <c r="E89" s="2"/>
    </row>
    <row r="90" spans="1:5" ht="15.75" x14ac:dyDescent="0.25">
      <c r="A90" s="1"/>
      <c r="B90" s="1"/>
      <c r="C90" s="2"/>
      <c r="D90" s="2"/>
      <c r="E90" s="2"/>
    </row>
    <row r="91" spans="1:5" ht="15.75" x14ac:dyDescent="0.25">
      <c r="A91" s="1"/>
      <c r="B91" s="1"/>
      <c r="C91" s="2"/>
      <c r="D91" s="2"/>
      <c r="E91" s="2"/>
    </row>
    <row r="92" spans="1:5" ht="15.75" x14ac:dyDescent="0.25">
      <c r="A92" s="1"/>
      <c r="B92" s="1"/>
      <c r="C92" s="2"/>
      <c r="D92" s="2"/>
      <c r="E92" s="2"/>
    </row>
    <row r="93" spans="1:5" ht="15.75" x14ac:dyDescent="0.25">
      <c r="A93" s="1"/>
      <c r="B93" s="1"/>
      <c r="C93" s="2"/>
      <c r="D93" s="2"/>
      <c r="E93" s="2"/>
    </row>
    <row r="94" spans="1:5" ht="15.75" x14ac:dyDescent="0.25">
      <c r="A94" s="1"/>
      <c r="B94" s="1"/>
      <c r="C94" s="2"/>
      <c r="D94" s="2"/>
      <c r="E94" s="2"/>
    </row>
    <row r="95" spans="1:5" ht="15.75" x14ac:dyDescent="0.25">
      <c r="A95" s="1"/>
      <c r="B95" s="1"/>
      <c r="C95" s="2"/>
      <c r="D95" s="2"/>
      <c r="E95" s="2"/>
    </row>
    <row r="96" spans="1:5" ht="15.75" x14ac:dyDescent="0.25">
      <c r="A96" s="1"/>
      <c r="B96" s="1"/>
      <c r="C96" s="2"/>
      <c r="D96" s="2"/>
      <c r="E96" s="2"/>
    </row>
    <row r="97" spans="1:5" ht="15.75" x14ac:dyDescent="0.25">
      <c r="A97" s="1"/>
      <c r="B97" s="1"/>
      <c r="C97" s="2"/>
      <c r="D97" s="2"/>
      <c r="E97" s="2"/>
    </row>
    <row r="98" spans="1:5" ht="15.75" x14ac:dyDescent="0.25">
      <c r="A98" s="1"/>
      <c r="B98" s="1"/>
      <c r="C98" s="2"/>
      <c r="D98" s="2"/>
      <c r="E98" s="2"/>
    </row>
    <row r="99" spans="1:5" ht="15.75" x14ac:dyDescent="0.25">
      <c r="A99" s="1"/>
      <c r="B99" s="1"/>
      <c r="C99" s="2"/>
      <c r="D99" s="2"/>
      <c r="E99" s="2"/>
    </row>
    <row r="100" spans="1:5" ht="15.75" x14ac:dyDescent="0.25">
      <c r="A100" s="1"/>
      <c r="B100" s="1"/>
      <c r="C100" s="2"/>
      <c r="D100" s="2"/>
      <c r="E100" s="2"/>
    </row>
    <row r="101" spans="1:5" ht="15.75" x14ac:dyDescent="0.25">
      <c r="A101" s="1"/>
      <c r="B101" s="1"/>
      <c r="C101" s="2"/>
      <c r="D101" s="2"/>
      <c r="E101" s="2"/>
    </row>
    <row r="102" spans="1:5" ht="15.75" x14ac:dyDescent="0.25">
      <c r="A102" s="1"/>
      <c r="B102" s="1"/>
      <c r="C102" s="2"/>
      <c r="D102" s="2"/>
      <c r="E102" s="2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55BE-96D4-4D74-85B0-4A1D3E1A851B}">
  <dimension ref="A1:E102"/>
  <sheetViews>
    <sheetView zoomScale="80" zoomScaleNormal="80" workbookViewId="0">
      <selection activeCell="F21" sqref="F21"/>
    </sheetView>
  </sheetViews>
  <sheetFormatPr defaultRowHeight="15" x14ac:dyDescent="0.25"/>
  <cols>
    <col min="1" max="1" width="14.140625" customWidth="1"/>
    <col min="2" max="2" width="30.140625" customWidth="1"/>
    <col min="3" max="3" width="13.5703125" customWidth="1"/>
    <col min="4" max="4" width="23.5703125" customWidth="1"/>
    <col min="5" max="5" width="21.140625" customWidth="1"/>
    <col min="6" max="6" width="11.42578125" customWidth="1"/>
    <col min="7" max="7" width="21.140625" customWidth="1"/>
    <col min="8" max="8" width="32.5703125" customWidth="1"/>
    <col min="9" max="9" width="17.42578125" bestFit="1" customWidth="1"/>
  </cols>
  <sheetData>
    <row r="1" spans="1:5" ht="40.15" customHeight="1" x14ac:dyDescent="0.25">
      <c r="A1" s="4" t="s">
        <v>0</v>
      </c>
      <c r="B1" s="4" t="s">
        <v>1</v>
      </c>
      <c r="C1" s="4" t="s">
        <v>2</v>
      </c>
      <c r="D1" s="4" t="s">
        <v>19</v>
      </c>
      <c r="E1" s="4" t="s">
        <v>20</v>
      </c>
    </row>
    <row r="2" spans="1:5" ht="26.1" customHeight="1" x14ac:dyDescent="0.35">
      <c r="A2" s="5">
        <v>1</v>
      </c>
      <c r="B2" s="5" t="s">
        <v>3</v>
      </c>
      <c r="C2" s="5">
        <v>29</v>
      </c>
      <c r="D2" s="6" cm="1">
        <f t="array" ref="D2:D8">_xlfn.UNIQUE(C2:C21)</f>
        <v>29</v>
      </c>
      <c r="E2" s="6" cm="1">
        <f t="array" ref="E2:E8">FREQUENCY(C2:C21,D2:D7)</f>
        <v>5</v>
      </c>
    </row>
    <row r="3" spans="1:5" ht="20.65" customHeight="1" x14ac:dyDescent="0.35">
      <c r="A3" s="5">
        <v>2</v>
      </c>
      <c r="B3" s="5" t="s">
        <v>4</v>
      </c>
      <c r="C3" s="5">
        <v>20</v>
      </c>
      <c r="D3" s="6">
        <v>20</v>
      </c>
      <c r="E3" s="6">
        <v>4</v>
      </c>
    </row>
    <row r="4" spans="1:5" ht="20.65" customHeight="1" x14ac:dyDescent="0.35">
      <c r="A4" s="5">
        <v>3</v>
      </c>
      <c r="B4" s="5" t="s">
        <v>5</v>
      </c>
      <c r="C4" s="5">
        <v>33</v>
      </c>
      <c r="D4" s="6">
        <v>33</v>
      </c>
      <c r="E4" s="6">
        <v>2</v>
      </c>
    </row>
    <row r="5" spans="1:5" ht="20.65" customHeight="1" x14ac:dyDescent="0.35">
      <c r="A5" s="5">
        <v>4</v>
      </c>
      <c r="B5" s="5" t="s">
        <v>6</v>
      </c>
      <c r="C5" s="5">
        <v>20</v>
      </c>
      <c r="D5" s="6">
        <v>21</v>
      </c>
      <c r="E5" s="6">
        <v>2</v>
      </c>
    </row>
    <row r="6" spans="1:5" ht="20.65" customHeight="1" x14ac:dyDescent="0.35">
      <c r="A6" s="5">
        <v>5</v>
      </c>
      <c r="B6" s="5" t="s">
        <v>7</v>
      </c>
      <c r="C6" s="5">
        <v>29</v>
      </c>
      <c r="D6" s="6">
        <v>28</v>
      </c>
      <c r="E6" s="6">
        <v>3</v>
      </c>
    </row>
    <row r="7" spans="1:5" ht="20.65" customHeight="1" x14ac:dyDescent="0.35">
      <c r="A7" s="5">
        <v>6</v>
      </c>
      <c r="B7" s="5" t="s">
        <v>8</v>
      </c>
      <c r="C7" s="5">
        <v>33</v>
      </c>
      <c r="D7" s="6">
        <v>27</v>
      </c>
      <c r="E7" s="6">
        <v>4</v>
      </c>
    </row>
    <row r="8" spans="1:5" ht="20.65" customHeight="1" x14ac:dyDescent="0.35">
      <c r="A8" s="5">
        <v>7</v>
      </c>
      <c r="B8" s="5" t="s">
        <v>9</v>
      </c>
      <c r="C8" s="5">
        <v>21</v>
      </c>
      <c r="D8" s="6">
        <v>23</v>
      </c>
      <c r="E8" s="6">
        <v>0</v>
      </c>
    </row>
    <row r="9" spans="1:5" ht="20.65" customHeight="1" x14ac:dyDescent="0.35">
      <c r="A9" s="5">
        <v>8</v>
      </c>
      <c r="B9" s="5" t="s">
        <v>10</v>
      </c>
      <c r="C9" s="5">
        <v>29</v>
      </c>
      <c r="D9" s="6"/>
      <c r="E9" s="7"/>
    </row>
    <row r="10" spans="1:5" ht="20.65" customHeight="1" x14ac:dyDescent="0.35">
      <c r="A10" s="5">
        <v>5</v>
      </c>
      <c r="B10" s="5" t="s">
        <v>7</v>
      </c>
      <c r="C10" s="5">
        <v>29</v>
      </c>
      <c r="D10" s="6"/>
      <c r="E10" s="7"/>
    </row>
    <row r="11" spans="1:5" ht="20.65" customHeight="1" x14ac:dyDescent="0.35">
      <c r="A11" s="5">
        <v>10</v>
      </c>
      <c r="B11" s="5" t="s">
        <v>11</v>
      </c>
      <c r="C11" s="5">
        <v>28</v>
      </c>
      <c r="D11" s="6"/>
      <c r="E11" s="7"/>
    </row>
    <row r="12" spans="1:5" ht="21.2" customHeight="1" x14ac:dyDescent="0.35">
      <c r="A12" s="5">
        <v>11</v>
      </c>
      <c r="B12" s="5" t="s">
        <v>12</v>
      </c>
      <c r="C12" s="5">
        <v>20</v>
      </c>
      <c r="D12" s="6"/>
      <c r="E12" s="7"/>
    </row>
    <row r="13" spans="1:5" ht="21.2" customHeight="1" x14ac:dyDescent="0.35">
      <c r="A13" s="5">
        <v>12</v>
      </c>
      <c r="B13" s="5" t="s">
        <v>13</v>
      </c>
      <c r="C13" s="5">
        <v>27</v>
      </c>
      <c r="D13" s="6"/>
      <c r="E13" s="7"/>
    </row>
    <row r="14" spans="1:5" ht="21.2" customHeight="1" x14ac:dyDescent="0.35">
      <c r="A14" s="5">
        <v>13</v>
      </c>
      <c r="B14" s="5" t="s">
        <v>14</v>
      </c>
      <c r="C14" s="5">
        <v>21</v>
      </c>
      <c r="D14" s="6"/>
      <c r="E14" s="7"/>
    </row>
    <row r="15" spans="1:5" ht="21.2" customHeight="1" x14ac:dyDescent="0.35">
      <c r="A15" s="5">
        <v>10</v>
      </c>
      <c r="B15" s="5" t="s">
        <v>11</v>
      </c>
      <c r="C15" s="5">
        <v>28</v>
      </c>
      <c r="D15" s="6"/>
      <c r="E15" s="7"/>
    </row>
    <row r="16" spans="1:5" ht="21.2" customHeight="1" x14ac:dyDescent="0.35">
      <c r="A16" s="5">
        <v>15</v>
      </c>
      <c r="B16" s="5" t="s">
        <v>15</v>
      </c>
      <c r="C16" s="5">
        <v>27</v>
      </c>
      <c r="D16" s="6"/>
      <c r="E16" s="7"/>
    </row>
    <row r="17" spans="1:5" ht="21.2" customHeight="1" x14ac:dyDescent="0.35">
      <c r="A17" s="5">
        <v>16</v>
      </c>
      <c r="B17" s="5" t="s">
        <v>16</v>
      </c>
      <c r="C17" s="5">
        <v>20</v>
      </c>
      <c r="D17" s="6"/>
      <c r="E17" s="7"/>
    </row>
    <row r="18" spans="1:5" ht="21.2" customHeight="1" x14ac:dyDescent="0.35">
      <c r="A18" s="5">
        <v>5</v>
      </c>
      <c r="B18" s="5" t="s">
        <v>7</v>
      </c>
      <c r="C18" s="5">
        <v>29</v>
      </c>
      <c r="D18" s="6"/>
      <c r="E18" s="7"/>
    </row>
    <row r="19" spans="1:5" ht="21.2" customHeight="1" x14ac:dyDescent="0.35">
      <c r="A19" s="5">
        <v>10</v>
      </c>
      <c r="B19" s="5" t="s">
        <v>11</v>
      </c>
      <c r="C19" s="5">
        <v>28</v>
      </c>
      <c r="D19" s="6"/>
      <c r="E19" s="7"/>
    </row>
    <row r="20" spans="1:5" ht="21.2" customHeight="1" x14ac:dyDescent="0.35">
      <c r="A20" s="5">
        <v>19</v>
      </c>
      <c r="B20" s="5" t="s">
        <v>17</v>
      </c>
      <c r="C20" s="5">
        <v>27</v>
      </c>
      <c r="D20" s="6"/>
      <c r="E20" s="7"/>
    </row>
    <row r="21" spans="1:5" ht="21.2" customHeight="1" x14ac:dyDescent="0.35">
      <c r="A21" s="5">
        <v>20</v>
      </c>
      <c r="B21" s="5" t="s">
        <v>18</v>
      </c>
      <c r="C21" s="5">
        <v>23</v>
      </c>
      <c r="D21" s="6"/>
      <c r="E21" s="7"/>
    </row>
    <row r="22" spans="1:5" ht="21.2" customHeight="1" x14ac:dyDescent="0.35">
      <c r="A22" s="8"/>
      <c r="B22" s="8"/>
      <c r="C22" s="7"/>
      <c r="D22" s="7"/>
      <c r="E22" s="7"/>
    </row>
    <row r="23" spans="1:5" ht="21.2" customHeight="1" x14ac:dyDescent="0.25">
      <c r="A23" s="1"/>
      <c r="B23" s="1"/>
    </row>
    <row r="24" spans="1:5" ht="21.2" customHeight="1" x14ac:dyDescent="0.25">
      <c r="A24" s="1"/>
      <c r="B24" s="1"/>
    </row>
    <row r="25" spans="1:5" ht="21.2" customHeight="1" x14ac:dyDescent="0.25">
      <c r="A25" s="1"/>
      <c r="B25" s="1"/>
    </row>
    <row r="26" spans="1:5" ht="21.2" customHeight="1" x14ac:dyDescent="0.25">
      <c r="A26" s="1"/>
      <c r="B26" s="1"/>
    </row>
    <row r="27" spans="1:5" ht="21.2" customHeight="1" x14ac:dyDescent="0.25">
      <c r="A27" s="1"/>
      <c r="B27" s="1"/>
    </row>
    <row r="28" spans="1:5" ht="21.2" customHeight="1" x14ac:dyDescent="0.25">
      <c r="A28" s="1"/>
      <c r="B28" s="1"/>
      <c r="C28" s="2"/>
      <c r="D28" s="2"/>
      <c r="E28" s="2"/>
    </row>
    <row r="29" spans="1:5" ht="21.2" customHeight="1" x14ac:dyDescent="0.25">
      <c r="A29" s="1"/>
      <c r="B29" s="1"/>
      <c r="C29" s="2"/>
      <c r="D29" s="2"/>
      <c r="E29" s="2"/>
    </row>
    <row r="30" spans="1:5" ht="21.2" customHeight="1" x14ac:dyDescent="0.25">
      <c r="A30" s="1"/>
      <c r="B30" s="1"/>
      <c r="C30" s="2"/>
      <c r="D30" s="2"/>
      <c r="E30" s="2"/>
    </row>
    <row r="31" spans="1:5" ht="21.2" customHeight="1" x14ac:dyDescent="0.25">
      <c r="A31" s="1"/>
      <c r="B31" s="1"/>
      <c r="C31" s="2"/>
      <c r="D31" s="2"/>
      <c r="E31" s="2"/>
    </row>
    <row r="32" spans="1:5" ht="21.2" customHeight="1" x14ac:dyDescent="0.25">
      <c r="A32" s="1"/>
      <c r="B32" s="1"/>
      <c r="C32" s="2"/>
      <c r="D32" s="2"/>
      <c r="E32" s="2"/>
    </row>
    <row r="33" spans="1:5" ht="21.2" customHeight="1" x14ac:dyDescent="0.25">
      <c r="A33" s="1"/>
      <c r="B33" s="1"/>
      <c r="C33" s="2"/>
      <c r="D33" s="2"/>
      <c r="E33" s="2"/>
    </row>
    <row r="34" spans="1:5" ht="21.2" customHeight="1" x14ac:dyDescent="0.25">
      <c r="A34" s="1"/>
      <c r="B34" s="1"/>
      <c r="C34" s="2"/>
      <c r="D34" s="2"/>
      <c r="E34" s="2"/>
    </row>
    <row r="35" spans="1:5" ht="21.2" customHeight="1" x14ac:dyDescent="0.25">
      <c r="A35" s="1"/>
      <c r="B35" s="1"/>
      <c r="C35" s="2"/>
      <c r="D35" s="2"/>
      <c r="E35" s="2"/>
    </row>
    <row r="36" spans="1:5" ht="21.2" customHeight="1" x14ac:dyDescent="0.25">
      <c r="A36" s="1"/>
      <c r="B36" s="1"/>
      <c r="C36" s="2"/>
      <c r="D36" s="2"/>
      <c r="E36" s="2"/>
    </row>
    <row r="37" spans="1:5" ht="21.2" customHeight="1" x14ac:dyDescent="0.25">
      <c r="A37" s="1"/>
      <c r="B37" s="1"/>
      <c r="C37" s="2"/>
      <c r="D37" s="2"/>
      <c r="E37" s="2"/>
    </row>
    <row r="38" spans="1:5" ht="21.2" customHeight="1" x14ac:dyDescent="0.25">
      <c r="A38" s="1"/>
      <c r="B38" s="1"/>
      <c r="C38" s="2"/>
      <c r="D38" s="2"/>
      <c r="E38" s="2"/>
    </row>
    <row r="39" spans="1:5" ht="21.2" customHeight="1" x14ac:dyDescent="0.25">
      <c r="A39" s="1"/>
      <c r="B39" s="1"/>
      <c r="C39" s="2"/>
      <c r="D39" s="2"/>
      <c r="E39" s="2"/>
    </row>
    <row r="40" spans="1:5" ht="21.2" customHeight="1" x14ac:dyDescent="0.25">
      <c r="A40" s="1"/>
      <c r="B40" s="1"/>
      <c r="C40" s="2"/>
      <c r="D40" s="2"/>
      <c r="E40" s="2"/>
    </row>
    <row r="41" spans="1:5" ht="21.2" customHeight="1" x14ac:dyDescent="0.25">
      <c r="A41" s="1"/>
      <c r="B41" s="1"/>
      <c r="C41" s="2"/>
      <c r="D41" s="2"/>
      <c r="E41" s="2"/>
    </row>
    <row r="42" spans="1:5" ht="21.2" customHeight="1" x14ac:dyDescent="0.25">
      <c r="A42" s="1"/>
      <c r="B42" s="1"/>
      <c r="C42" s="2"/>
      <c r="D42" s="2"/>
      <c r="E42" s="2"/>
    </row>
    <row r="43" spans="1:5" ht="21.2" customHeight="1" x14ac:dyDescent="0.25">
      <c r="A43" s="1"/>
      <c r="B43" s="1"/>
      <c r="C43" s="2"/>
      <c r="D43" s="2"/>
      <c r="E43" s="2"/>
    </row>
    <row r="44" spans="1:5" ht="21.2" customHeight="1" x14ac:dyDescent="0.25">
      <c r="A44" s="1"/>
      <c r="B44" s="1"/>
      <c r="C44" s="2"/>
      <c r="D44" s="2"/>
      <c r="E44" s="2"/>
    </row>
    <row r="45" spans="1:5" ht="21.2" customHeight="1" x14ac:dyDescent="0.25">
      <c r="A45" s="1"/>
      <c r="B45" s="1"/>
      <c r="C45" s="2"/>
      <c r="D45" s="2"/>
      <c r="E45" s="2"/>
    </row>
    <row r="46" spans="1:5" ht="21.2" customHeight="1" x14ac:dyDescent="0.25">
      <c r="A46" s="1"/>
      <c r="B46" s="1"/>
      <c r="C46" s="2"/>
      <c r="D46" s="2"/>
      <c r="E46" s="2"/>
    </row>
    <row r="47" spans="1:5" ht="21.2" customHeight="1" x14ac:dyDescent="0.25">
      <c r="A47" s="1"/>
      <c r="B47" s="1"/>
      <c r="C47" s="2"/>
      <c r="D47" s="2"/>
      <c r="E47" s="2"/>
    </row>
    <row r="48" spans="1:5" ht="21.2" customHeight="1" x14ac:dyDescent="0.25">
      <c r="A48" s="1"/>
      <c r="B48" s="1"/>
      <c r="C48" s="2"/>
      <c r="D48" s="2"/>
      <c r="E48" s="2"/>
    </row>
    <row r="49" spans="1:5" ht="21.2" customHeight="1" x14ac:dyDescent="0.25">
      <c r="A49" s="1"/>
      <c r="B49" s="1"/>
      <c r="C49" s="2"/>
      <c r="D49" s="2"/>
      <c r="E49" s="2"/>
    </row>
    <row r="50" spans="1:5" ht="21.2" customHeight="1" x14ac:dyDescent="0.25">
      <c r="A50" s="1"/>
      <c r="B50" s="1"/>
      <c r="C50" s="2"/>
      <c r="D50" s="2"/>
      <c r="E50" s="2"/>
    </row>
    <row r="51" spans="1:5" ht="21.2" customHeight="1" x14ac:dyDescent="0.25">
      <c r="A51" s="1"/>
      <c r="B51" s="1"/>
      <c r="C51" s="2"/>
      <c r="D51" s="2"/>
      <c r="E51" s="2"/>
    </row>
    <row r="52" spans="1:5" ht="21.2" customHeight="1" x14ac:dyDescent="0.25">
      <c r="A52" s="1"/>
      <c r="B52" s="1"/>
      <c r="C52" s="2"/>
      <c r="D52" s="2"/>
      <c r="E52" s="2"/>
    </row>
    <row r="53" spans="1:5" ht="21.2" customHeight="1" x14ac:dyDescent="0.25">
      <c r="A53" s="1"/>
      <c r="B53" s="1"/>
      <c r="C53" s="2"/>
      <c r="D53" s="2"/>
      <c r="E53" s="2"/>
    </row>
    <row r="54" spans="1:5" ht="21.2" customHeight="1" x14ac:dyDescent="0.25">
      <c r="A54" s="1"/>
      <c r="B54" s="1"/>
      <c r="C54" s="2"/>
      <c r="D54" s="2"/>
      <c r="E54" s="2"/>
    </row>
    <row r="55" spans="1:5" ht="21.2" customHeight="1" x14ac:dyDescent="0.25">
      <c r="A55" s="1"/>
      <c r="B55" s="1"/>
      <c r="C55" s="2"/>
      <c r="D55" s="2"/>
      <c r="E55" s="2"/>
    </row>
    <row r="56" spans="1:5" ht="21.2" customHeight="1" x14ac:dyDescent="0.25">
      <c r="A56" s="1"/>
      <c r="B56" s="1"/>
      <c r="C56" s="2"/>
      <c r="D56" s="2"/>
      <c r="E56" s="2"/>
    </row>
    <row r="57" spans="1:5" ht="15.75" x14ac:dyDescent="0.25">
      <c r="A57" s="1"/>
      <c r="B57" s="1"/>
      <c r="C57" s="2"/>
      <c r="D57" s="2"/>
      <c r="E57" s="2"/>
    </row>
    <row r="58" spans="1:5" ht="15.75" x14ac:dyDescent="0.25">
      <c r="A58" s="1"/>
      <c r="B58" s="1"/>
      <c r="C58" s="2"/>
      <c r="D58" s="2"/>
      <c r="E58" s="2"/>
    </row>
    <row r="59" spans="1:5" ht="15.75" x14ac:dyDescent="0.25">
      <c r="A59" s="1"/>
      <c r="B59" s="1"/>
      <c r="C59" s="2"/>
      <c r="D59" s="2"/>
      <c r="E59" s="2"/>
    </row>
    <row r="60" spans="1:5" ht="15.75" x14ac:dyDescent="0.25">
      <c r="A60" s="1"/>
      <c r="B60" s="1"/>
      <c r="C60" s="2"/>
      <c r="D60" s="2"/>
      <c r="E60" s="2"/>
    </row>
    <row r="61" spans="1:5" ht="15.75" x14ac:dyDescent="0.25">
      <c r="A61" s="1"/>
      <c r="B61" s="1"/>
      <c r="C61" s="2"/>
      <c r="D61" s="2"/>
      <c r="E61" s="2"/>
    </row>
    <row r="62" spans="1:5" ht="15.75" x14ac:dyDescent="0.25">
      <c r="A62" s="1"/>
      <c r="B62" s="1"/>
      <c r="C62" s="2"/>
      <c r="D62" s="2"/>
      <c r="E62" s="2"/>
    </row>
    <row r="63" spans="1:5" ht="15.75" x14ac:dyDescent="0.25">
      <c r="A63" s="1"/>
      <c r="B63" s="1"/>
      <c r="C63" s="2"/>
      <c r="D63" s="2"/>
      <c r="E63" s="2"/>
    </row>
    <row r="64" spans="1:5" ht="15.75" x14ac:dyDescent="0.25">
      <c r="A64" s="1"/>
      <c r="B64" s="1"/>
      <c r="C64" s="2"/>
      <c r="D64" s="2"/>
      <c r="E64" s="2"/>
    </row>
    <row r="65" spans="1:5" ht="15.75" x14ac:dyDescent="0.25">
      <c r="A65" s="1"/>
      <c r="B65" s="1"/>
      <c r="C65" s="2"/>
      <c r="D65" s="2"/>
      <c r="E65" s="2"/>
    </row>
    <row r="66" spans="1:5" ht="15.75" x14ac:dyDescent="0.25">
      <c r="A66" s="1"/>
      <c r="B66" s="1"/>
      <c r="C66" s="2"/>
      <c r="D66" s="2"/>
      <c r="E66" s="2"/>
    </row>
    <row r="67" spans="1:5" ht="15.75" x14ac:dyDescent="0.25">
      <c r="A67" s="1"/>
      <c r="B67" s="1"/>
      <c r="C67" s="2"/>
      <c r="D67" s="2"/>
      <c r="E67" s="2"/>
    </row>
    <row r="68" spans="1:5" ht="15.75" x14ac:dyDescent="0.25">
      <c r="A68" s="1"/>
      <c r="B68" s="1"/>
      <c r="C68" s="2"/>
      <c r="D68" s="2"/>
      <c r="E68" s="2"/>
    </row>
    <row r="69" spans="1:5" ht="15.75" x14ac:dyDescent="0.25">
      <c r="A69" s="1"/>
      <c r="B69" s="1"/>
      <c r="C69" s="2"/>
      <c r="D69" s="2"/>
      <c r="E69" s="2"/>
    </row>
    <row r="70" spans="1:5" ht="15.75" x14ac:dyDescent="0.25">
      <c r="A70" s="1"/>
      <c r="B70" s="1"/>
      <c r="C70" s="2"/>
      <c r="D70" s="2"/>
      <c r="E70" s="2"/>
    </row>
    <row r="71" spans="1:5" ht="15.75" x14ac:dyDescent="0.25">
      <c r="A71" s="1"/>
      <c r="B71" s="1"/>
      <c r="C71" s="2"/>
      <c r="D71" s="2"/>
      <c r="E71" s="2"/>
    </row>
    <row r="72" spans="1:5" ht="15.75" x14ac:dyDescent="0.25">
      <c r="A72" s="1"/>
      <c r="B72" s="1"/>
      <c r="C72" s="2"/>
      <c r="D72" s="2"/>
      <c r="E72" s="2"/>
    </row>
    <row r="73" spans="1:5" ht="15.75" x14ac:dyDescent="0.25">
      <c r="A73" s="1"/>
      <c r="B73" s="1"/>
      <c r="C73" s="2"/>
      <c r="D73" s="2"/>
      <c r="E73" s="2"/>
    </row>
    <row r="74" spans="1:5" ht="15.75" x14ac:dyDescent="0.25">
      <c r="A74" s="1"/>
      <c r="B74" s="1"/>
      <c r="C74" s="2"/>
      <c r="D74" s="2"/>
      <c r="E74" s="2"/>
    </row>
    <row r="75" spans="1:5" ht="15.75" x14ac:dyDescent="0.25">
      <c r="A75" s="1"/>
      <c r="B75" s="1"/>
      <c r="C75" s="2"/>
      <c r="D75" s="2"/>
      <c r="E75" s="2"/>
    </row>
    <row r="76" spans="1:5" ht="15.75" x14ac:dyDescent="0.25">
      <c r="A76" s="1"/>
      <c r="B76" s="1"/>
      <c r="C76" s="2"/>
      <c r="D76" s="2"/>
      <c r="E76" s="2"/>
    </row>
    <row r="77" spans="1:5" ht="15.75" x14ac:dyDescent="0.25">
      <c r="A77" s="1"/>
      <c r="B77" s="1"/>
      <c r="C77" s="2"/>
      <c r="D77" s="2"/>
      <c r="E77" s="2"/>
    </row>
    <row r="78" spans="1:5" ht="15.75" x14ac:dyDescent="0.25">
      <c r="A78" s="1"/>
      <c r="B78" s="1"/>
      <c r="C78" s="2"/>
      <c r="D78" s="2"/>
      <c r="E78" s="2"/>
    </row>
    <row r="79" spans="1:5" ht="15.75" x14ac:dyDescent="0.25">
      <c r="A79" s="1"/>
      <c r="B79" s="1"/>
      <c r="C79" s="2"/>
      <c r="D79" s="2"/>
      <c r="E79" s="2"/>
    </row>
    <row r="80" spans="1:5" ht="15.75" x14ac:dyDescent="0.25">
      <c r="A80" s="1"/>
      <c r="B80" s="1"/>
      <c r="C80" s="2"/>
      <c r="D80" s="2"/>
      <c r="E80" s="2"/>
    </row>
    <row r="81" spans="1:5" ht="15.75" x14ac:dyDescent="0.25">
      <c r="A81" s="1"/>
      <c r="B81" s="1"/>
      <c r="C81" s="2"/>
      <c r="D81" s="2"/>
      <c r="E81" s="2"/>
    </row>
    <row r="82" spans="1:5" ht="15.75" x14ac:dyDescent="0.25">
      <c r="A82" s="1"/>
      <c r="B82" s="1"/>
      <c r="C82" s="2"/>
      <c r="D82" s="2"/>
      <c r="E82" s="2"/>
    </row>
    <row r="83" spans="1:5" ht="15.75" x14ac:dyDescent="0.25">
      <c r="A83" s="1"/>
      <c r="B83" s="1"/>
      <c r="C83" s="2"/>
      <c r="D83" s="2"/>
      <c r="E83" s="2"/>
    </row>
    <row r="84" spans="1:5" ht="15.75" x14ac:dyDescent="0.25">
      <c r="A84" s="1"/>
      <c r="B84" s="1"/>
      <c r="C84" s="2"/>
      <c r="D84" s="2"/>
      <c r="E84" s="2"/>
    </row>
    <row r="85" spans="1:5" ht="15.75" x14ac:dyDescent="0.25">
      <c r="A85" s="1"/>
      <c r="B85" s="1"/>
      <c r="C85" s="2"/>
      <c r="D85" s="2"/>
      <c r="E85" s="2"/>
    </row>
    <row r="86" spans="1:5" ht="15.75" x14ac:dyDescent="0.25">
      <c r="A86" s="1"/>
      <c r="B86" s="1"/>
      <c r="C86" s="2"/>
      <c r="D86" s="2"/>
      <c r="E86" s="2"/>
    </row>
    <row r="87" spans="1:5" ht="15.75" x14ac:dyDescent="0.25">
      <c r="A87" s="1"/>
      <c r="B87" s="1"/>
      <c r="C87" s="2"/>
      <c r="D87" s="2"/>
      <c r="E87" s="2"/>
    </row>
    <row r="88" spans="1:5" ht="15.75" x14ac:dyDescent="0.25">
      <c r="A88" s="1"/>
      <c r="B88" s="1"/>
      <c r="C88" s="2"/>
      <c r="D88" s="2"/>
      <c r="E88" s="2"/>
    </row>
    <row r="89" spans="1:5" ht="15.75" x14ac:dyDescent="0.25">
      <c r="A89" s="1"/>
      <c r="B89" s="1"/>
      <c r="C89" s="2"/>
      <c r="D89" s="2"/>
      <c r="E89" s="2"/>
    </row>
    <row r="90" spans="1:5" ht="15.75" x14ac:dyDescent="0.25">
      <c r="A90" s="1"/>
      <c r="B90" s="1"/>
      <c r="C90" s="2"/>
      <c r="D90" s="2"/>
      <c r="E90" s="2"/>
    </row>
    <row r="91" spans="1:5" ht="15.75" x14ac:dyDescent="0.25">
      <c r="A91" s="1"/>
      <c r="B91" s="1"/>
      <c r="C91" s="2"/>
      <c r="D91" s="2"/>
      <c r="E91" s="2"/>
    </row>
    <row r="92" spans="1:5" ht="15.75" x14ac:dyDescent="0.25">
      <c r="A92" s="1"/>
      <c r="B92" s="1"/>
      <c r="C92" s="2"/>
      <c r="D92" s="2"/>
      <c r="E92" s="2"/>
    </row>
    <row r="93" spans="1:5" ht="15.75" x14ac:dyDescent="0.25">
      <c r="A93" s="1"/>
      <c r="B93" s="1"/>
      <c r="C93" s="2"/>
      <c r="D93" s="2"/>
      <c r="E93" s="2"/>
    </row>
    <row r="94" spans="1:5" ht="15.75" x14ac:dyDescent="0.25">
      <c r="A94" s="1"/>
      <c r="B94" s="1"/>
      <c r="C94" s="2"/>
      <c r="D94" s="2"/>
      <c r="E94" s="2"/>
    </row>
    <row r="95" spans="1:5" ht="15.75" x14ac:dyDescent="0.25">
      <c r="A95" s="1"/>
      <c r="B95" s="1"/>
      <c r="C95" s="2"/>
      <c r="D95" s="2"/>
      <c r="E95" s="2"/>
    </row>
    <row r="96" spans="1:5" ht="15.75" x14ac:dyDescent="0.25">
      <c r="A96" s="1"/>
      <c r="B96" s="1"/>
      <c r="C96" s="2"/>
      <c r="D96" s="2"/>
      <c r="E96" s="2"/>
    </row>
    <row r="97" spans="1:5" ht="15.75" x14ac:dyDescent="0.25">
      <c r="A97" s="1"/>
      <c r="B97" s="1"/>
      <c r="C97" s="2"/>
      <c r="D97" s="2"/>
      <c r="E97" s="2"/>
    </row>
    <row r="98" spans="1:5" ht="15.75" x14ac:dyDescent="0.25">
      <c r="A98" s="1"/>
      <c r="B98" s="1"/>
      <c r="C98" s="2"/>
      <c r="D98" s="2"/>
      <c r="E98" s="2"/>
    </row>
    <row r="99" spans="1:5" ht="15.75" x14ac:dyDescent="0.25">
      <c r="A99" s="1"/>
      <c r="B99" s="1"/>
      <c r="C99" s="2"/>
      <c r="D99" s="2"/>
      <c r="E99" s="2"/>
    </row>
    <row r="100" spans="1:5" ht="15.75" x14ac:dyDescent="0.25">
      <c r="A100" s="1"/>
      <c r="B100" s="1"/>
      <c r="C100" s="2"/>
      <c r="D100" s="2"/>
      <c r="E100" s="2"/>
    </row>
    <row r="101" spans="1:5" ht="15.75" x14ac:dyDescent="0.25">
      <c r="A101" s="1"/>
      <c r="B101" s="1"/>
      <c r="C101" s="2"/>
      <c r="D101" s="2"/>
      <c r="E101" s="2"/>
    </row>
    <row r="102" spans="1:5" ht="15.75" x14ac:dyDescent="0.25">
      <c r="A102" s="1"/>
      <c r="B102" s="1"/>
      <c r="C102" s="2"/>
      <c r="D102" s="2"/>
      <c r="E102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72A7-A5F2-45D5-967E-9D3EF69C8DBD}">
  <dimension ref="A1:G103"/>
  <sheetViews>
    <sheetView zoomScale="80" zoomScaleNormal="80" workbookViewId="0">
      <selection activeCell="E2" sqref="E2"/>
    </sheetView>
  </sheetViews>
  <sheetFormatPr defaultRowHeight="15" x14ac:dyDescent="0.25"/>
  <cols>
    <col min="1" max="1" width="16.42578125" customWidth="1"/>
    <col min="2" max="2" width="19.5703125" customWidth="1"/>
    <col min="3" max="4" width="28.28515625" customWidth="1"/>
    <col min="5" max="5" width="24.28515625" customWidth="1"/>
    <col min="6" max="6" width="11.42578125" customWidth="1"/>
    <col min="7" max="7" width="21.140625" customWidth="1"/>
    <col min="8" max="8" width="32.5703125" customWidth="1"/>
    <col min="9" max="9" width="17.42578125" bestFit="1" customWidth="1"/>
  </cols>
  <sheetData>
    <row r="1" spans="1:7" ht="30" customHeight="1" x14ac:dyDescent="0.4">
      <c r="A1" s="10" t="s">
        <v>21</v>
      </c>
      <c r="B1" s="10" t="s">
        <v>22</v>
      </c>
      <c r="C1" s="10" t="s">
        <v>2</v>
      </c>
      <c r="D1" s="9"/>
      <c r="E1" s="10" t="s">
        <v>22</v>
      </c>
      <c r="F1" s="10" t="s">
        <v>2</v>
      </c>
    </row>
    <row r="2" spans="1:7" ht="25.5" customHeight="1" x14ac:dyDescent="0.25">
      <c r="A2" s="5">
        <v>1</v>
      </c>
      <c r="B2" s="5" t="s">
        <v>3</v>
      </c>
      <c r="C2" s="5">
        <v>29</v>
      </c>
      <c r="E2" t="s">
        <v>3</v>
      </c>
      <c r="F2">
        <f ca="1">LOOKUP(E2,B2:B21,C2:C3)</f>
        <v>29</v>
      </c>
      <c r="G2" s="3"/>
    </row>
    <row r="3" spans="1:7" ht="26.1" customHeight="1" x14ac:dyDescent="0.25">
      <c r="A3" s="5">
        <v>2</v>
      </c>
      <c r="B3" s="5" t="s">
        <v>4</v>
      </c>
      <c r="C3" s="5">
        <v>20</v>
      </c>
    </row>
    <row r="4" spans="1:7" ht="20.65" customHeight="1" x14ac:dyDescent="0.25">
      <c r="A4" s="5">
        <v>3</v>
      </c>
      <c r="B4" s="5" t="s">
        <v>5</v>
      </c>
      <c r="C4" s="5">
        <v>33</v>
      </c>
    </row>
    <row r="5" spans="1:7" ht="20.65" customHeight="1" x14ac:dyDescent="0.25">
      <c r="A5" s="5">
        <v>4</v>
      </c>
      <c r="B5" s="5" t="s">
        <v>6</v>
      </c>
      <c r="C5" s="5">
        <v>20</v>
      </c>
    </row>
    <row r="6" spans="1:7" ht="20.65" customHeight="1" x14ac:dyDescent="0.25">
      <c r="A6" s="5">
        <v>5</v>
      </c>
      <c r="B6" s="5" t="s">
        <v>7</v>
      </c>
      <c r="C6" s="5">
        <v>29</v>
      </c>
    </row>
    <row r="7" spans="1:7" ht="20.65" customHeight="1" x14ac:dyDescent="0.25">
      <c r="A7" s="5">
        <v>6</v>
      </c>
      <c r="B7" s="5" t="s">
        <v>8</v>
      </c>
      <c r="C7" s="5">
        <v>33</v>
      </c>
    </row>
    <row r="8" spans="1:7" ht="20.65" customHeight="1" x14ac:dyDescent="0.25">
      <c r="A8" s="5">
        <v>7</v>
      </c>
      <c r="B8" s="5" t="s">
        <v>9</v>
      </c>
      <c r="C8" s="5">
        <v>21</v>
      </c>
    </row>
    <row r="9" spans="1:7" ht="20.65" customHeight="1" x14ac:dyDescent="0.25">
      <c r="A9" s="5">
        <v>8</v>
      </c>
      <c r="B9" s="5" t="s">
        <v>10</v>
      </c>
      <c r="C9" s="5">
        <v>29</v>
      </c>
    </row>
    <row r="10" spans="1:7" ht="20.65" customHeight="1" x14ac:dyDescent="0.25">
      <c r="A10" s="5">
        <v>5</v>
      </c>
      <c r="B10" s="5" t="s">
        <v>7</v>
      </c>
      <c r="C10" s="5">
        <v>29</v>
      </c>
    </row>
    <row r="11" spans="1:7" ht="20.65" customHeight="1" x14ac:dyDescent="0.25">
      <c r="A11" s="5">
        <v>10</v>
      </c>
      <c r="B11" s="5" t="s">
        <v>11</v>
      </c>
      <c r="C11" s="5">
        <v>28</v>
      </c>
    </row>
    <row r="12" spans="1:7" ht="20.65" customHeight="1" x14ac:dyDescent="0.25">
      <c r="A12" s="5">
        <v>11</v>
      </c>
      <c r="B12" s="5" t="s">
        <v>12</v>
      </c>
      <c r="C12" s="5">
        <v>20</v>
      </c>
    </row>
    <row r="13" spans="1:7" ht="21.2" customHeight="1" x14ac:dyDescent="0.25">
      <c r="A13" s="5">
        <v>12</v>
      </c>
      <c r="B13" s="5" t="s">
        <v>13</v>
      </c>
      <c r="C13" s="5">
        <v>27</v>
      </c>
    </row>
    <row r="14" spans="1:7" ht="21.2" customHeight="1" x14ac:dyDescent="0.25">
      <c r="A14" s="5">
        <v>13</v>
      </c>
      <c r="B14" s="5" t="s">
        <v>14</v>
      </c>
      <c r="C14" s="5">
        <v>21</v>
      </c>
    </row>
    <row r="15" spans="1:7" ht="21.2" customHeight="1" x14ac:dyDescent="0.25">
      <c r="A15" s="5">
        <v>10</v>
      </c>
      <c r="B15" s="5" t="s">
        <v>11</v>
      </c>
      <c r="C15" s="5">
        <v>28</v>
      </c>
    </row>
    <row r="16" spans="1:7" ht="21.2" customHeight="1" x14ac:dyDescent="0.25">
      <c r="A16" s="5">
        <v>15</v>
      </c>
      <c r="B16" s="5" t="s">
        <v>15</v>
      </c>
      <c r="C16" s="5">
        <v>27</v>
      </c>
    </row>
    <row r="17" spans="1:5" ht="21.2" customHeight="1" x14ac:dyDescent="0.25">
      <c r="A17" s="5">
        <v>16</v>
      </c>
      <c r="B17" s="5" t="s">
        <v>16</v>
      </c>
      <c r="C17" s="5">
        <v>20</v>
      </c>
    </row>
    <row r="18" spans="1:5" ht="21.2" customHeight="1" x14ac:dyDescent="0.25">
      <c r="A18" s="5">
        <v>5</v>
      </c>
      <c r="B18" s="5" t="s">
        <v>7</v>
      </c>
      <c r="C18" s="5">
        <v>29</v>
      </c>
    </row>
    <row r="19" spans="1:5" ht="21.2" customHeight="1" x14ac:dyDescent="0.25">
      <c r="A19" s="5">
        <v>10</v>
      </c>
      <c r="B19" s="5" t="s">
        <v>11</v>
      </c>
      <c r="C19" s="5">
        <v>28</v>
      </c>
    </row>
    <row r="20" spans="1:5" ht="21.2" customHeight="1" x14ac:dyDescent="0.25">
      <c r="A20" s="5">
        <v>19</v>
      </c>
      <c r="B20" s="5" t="s">
        <v>17</v>
      </c>
      <c r="C20" s="5">
        <v>27</v>
      </c>
    </row>
    <row r="21" spans="1:5" ht="21.2" customHeight="1" x14ac:dyDescent="0.25">
      <c r="A21" s="5">
        <v>20</v>
      </c>
      <c r="B21" s="5" t="s">
        <v>18</v>
      </c>
      <c r="C21" s="5">
        <v>23</v>
      </c>
    </row>
    <row r="22" spans="1:5" ht="21.2" customHeight="1" x14ac:dyDescent="0.25">
      <c r="A22" s="1"/>
      <c r="B22" s="1"/>
    </row>
    <row r="23" spans="1:5" ht="21.2" customHeight="1" x14ac:dyDescent="0.25">
      <c r="A23" s="1"/>
      <c r="B23" s="1"/>
    </row>
    <row r="24" spans="1:5" ht="21.2" customHeight="1" x14ac:dyDescent="0.25">
      <c r="A24" s="1"/>
      <c r="B24" s="1"/>
    </row>
    <row r="25" spans="1:5" ht="21.2" customHeight="1" x14ac:dyDescent="0.25">
      <c r="A25" s="1"/>
      <c r="B25" s="1"/>
    </row>
    <row r="26" spans="1:5" ht="21.2" customHeight="1" x14ac:dyDescent="0.25">
      <c r="A26" s="1"/>
      <c r="B26" s="1"/>
    </row>
    <row r="27" spans="1:5" ht="21.2" customHeight="1" x14ac:dyDescent="0.25">
      <c r="A27" s="1"/>
      <c r="B27" s="1"/>
    </row>
    <row r="28" spans="1:5" ht="21.2" customHeight="1" x14ac:dyDescent="0.25">
      <c r="A28" s="1"/>
      <c r="B28" s="1"/>
    </row>
    <row r="29" spans="1:5" ht="21.2" customHeight="1" x14ac:dyDescent="0.25">
      <c r="A29" s="1"/>
      <c r="B29" s="1"/>
      <c r="C29" s="2"/>
      <c r="D29" s="2"/>
      <c r="E29" s="2"/>
    </row>
    <row r="30" spans="1:5" ht="21.2" customHeight="1" x14ac:dyDescent="0.25">
      <c r="A30" s="1"/>
      <c r="B30" s="1"/>
      <c r="C30" s="2"/>
      <c r="D30" s="2"/>
      <c r="E30" s="2"/>
    </row>
    <row r="31" spans="1:5" ht="21.2" customHeight="1" x14ac:dyDescent="0.25">
      <c r="A31" s="1"/>
      <c r="B31" s="1"/>
      <c r="C31" s="2"/>
      <c r="D31" s="2"/>
      <c r="E31" s="2"/>
    </row>
    <row r="32" spans="1:5" ht="21.2" customHeight="1" x14ac:dyDescent="0.25">
      <c r="A32" s="1"/>
      <c r="B32" s="1"/>
      <c r="C32" s="2"/>
      <c r="D32" s="2"/>
      <c r="E32" s="2"/>
    </row>
    <row r="33" spans="1:5" ht="21.2" customHeight="1" x14ac:dyDescent="0.25">
      <c r="A33" s="1"/>
      <c r="B33" s="1"/>
      <c r="C33" s="2"/>
      <c r="D33" s="2"/>
      <c r="E33" s="2"/>
    </row>
    <row r="34" spans="1:5" ht="21.2" customHeight="1" x14ac:dyDescent="0.25">
      <c r="A34" s="1"/>
      <c r="B34" s="1"/>
      <c r="C34" s="2"/>
      <c r="D34" s="2"/>
      <c r="E34" s="2"/>
    </row>
    <row r="35" spans="1:5" ht="21.2" customHeight="1" x14ac:dyDescent="0.25">
      <c r="A35" s="1"/>
      <c r="B35" s="1"/>
      <c r="C35" s="2"/>
      <c r="D35" s="2"/>
      <c r="E35" s="2"/>
    </row>
    <row r="36" spans="1:5" ht="21.2" customHeight="1" x14ac:dyDescent="0.25">
      <c r="A36" s="1"/>
      <c r="B36" s="1"/>
      <c r="C36" s="2"/>
      <c r="D36" s="2"/>
      <c r="E36" s="2"/>
    </row>
    <row r="37" spans="1:5" ht="21.2" customHeight="1" x14ac:dyDescent="0.25">
      <c r="A37" s="1"/>
      <c r="B37" s="1"/>
      <c r="C37" s="2"/>
      <c r="D37" s="2"/>
      <c r="E37" s="2"/>
    </row>
    <row r="38" spans="1:5" ht="21.2" customHeight="1" x14ac:dyDescent="0.25">
      <c r="A38" s="1"/>
      <c r="B38" s="1"/>
      <c r="C38" s="2"/>
      <c r="D38" s="2"/>
      <c r="E38" s="2"/>
    </row>
    <row r="39" spans="1:5" ht="21.2" customHeight="1" x14ac:dyDescent="0.25">
      <c r="A39" s="1"/>
      <c r="B39" s="1"/>
      <c r="C39" s="2"/>
      <c r="D39" s="2"/>
      <c r="E39" s="2"/>
    </row>
    <row r="40" spans="1:5" ht="21.2" customHeight="1" x14ac:dyDescent="0.25">
      <c r="A40" s="1"/>
      <c r="B40" s="1"/>
      <c r="C40" s="2"/>
      <c r="D40" s="2"/>
      <c r="E40" s="2"/>
    </row>
    <row r="41" spans="1:5" ht="21.2" customHeight="1" x14ac:dyDescent="0.25">
      <c r="A41" s="1"/>
      <c r="B41" s="1"/>
      <c r="C41" s="2"/>
      <c r="D41" s="2"/>
      <c r="E41" s="2"/>
    </row>
    <row r="42" spans="1:5" ht="21.2" customHeight="1" x14ac:dyDescent="0.25">
      <c r="A42" s="1"/>
      <c r="B42" s="1"/>
      <c r="C42" s="2"/>
      <c r="D42" s="2"/>
      <c r="E42" s="2"/>
    </row>
    <row r="43" spans="1:5" ht="21.2" customHeight="1" x14ac:dyDescent="0.25">
      <c r="A43" s="1"/>
      <c r="B43" s="1"/>
      <c r="C43" s="2"/>
      <c r="D43" s="2"/>
      <c r="E43" s="2"/>
    </row>
    <row r="44" spans="1:5" ht="21.2" customHeight="1" x14ac:dyDescent="0.25">
      <c r="A44" s="1"/>
      <c r="B44" s="1"/>
      <c r="C44" s="2"/>
      <c r="D44" s="2"/>
      <c r="E44" s="2"/>
    </row>
    <row r="45" spans="1:5" ht="21.2" customHeight="1" x14ac:dyDescent="0.25">
      <c r="A45" s="1"/>
      <c r="B45" s="1"/>
      <c r="C45" s="2"/>
      <c r="D45" s="2"/>
      <c r="E45" s="2"/>
    </row>
    <row r="46" spans="1:5" ht="21.2" customHeight="1" x14ac:dyDescent="0.25">
      <c r="A46" s="1"/>
      <c r="B46" s="1"/>
      <c r="C46" s="2"/>
      <c r="D46" s="2"/>
      <c r="E46" s="2"/>
    </row>
    <row r="47" spans="1:5" ht="21.2" customHeight="1" x14ac:dyDescent="0.25">
      <c r="A47" s="1"/>
      <c r="B47" s="1"/>
      <c r="C47" s="2"/>
      <c r="D47" s="2"/>
      <c r="E47" s="2"/>
    </row>
    <row r="48" spans="1:5" ht="21.2" customHeight="1" x14ac:dyDescent="0.25">
      <c r="A48" s="1"/>
      <c r="B48" s="1"/>
      <c r="C48" s="2"/>
      <c r="D48" s="2"/>
      <c r="E48" s="2"/>
    </row>
    <row r="49" spans="1:5" ht="21.2" customHeight="1" x14ac:dyDescent="0.25">
      <c r="A49" s="1"/>
      <c r="B49" s="1"/>
      <c r="C49" s="2"/>
      <c r="D49" s="2"/>
      <c r="E49" s="2"/>
    </row>
    <row r="50" spans="1:5" ht="21.2" customHeight="1" x14ac:dyDescent="0.25">
      <c r="A50" s="1"/>
      <c r="B50" s="1"/>
      <c r="C50" s="2"/>
      <c r="D50" s="2"/>
      <c r="E50" s="2"/>
    </row>
    <row r="51" spans="1:5" ht="21.2" customHeight="1" x14ac:dyDescent="0.25">
      <c r="A51" s="1"/>
      <c r="B51" s="1"/>
      <c r="C51" s="2"/>
      <c r="D51" s="2"/>
      <c r="E51" s="2"/>
    </row>
    <row r="52" spans="1:5" ht="21.2" customHeight="1" x14ac:dyDescent="0.25">
      <c r="A52" s="1"/>
      <c r="B52" s="1"/>
      <c r="C52" s="2"/>
      <c r="D52" s="2"/>
      <c r="E52" s="2"/>
    </row>
    <row r="53" spans="1:5" ht="21.2" customHeight="1" x14ac:dyDescent="0.25">
      <c r="A53" s="1"/>
      <c r="B53" s="1"/>
      <c r="C53" s="2"/>
      <c r="D53" s="2"/>
      <c r="E53" s="2"/>
    </row>
    <row r="54" spans="1:5" ht="21.2" customHeight="1" x14ac:dyDescent="0.25">
      <c r="A54" s="1"/>
      <c r="B54" s="1"/>
      <c r="C54" s="2"/>
      <c r="D54" s="2"/>
      <c r="E54" s="2"/>
    </row>
    <row r="55" spans="1:5" ht="21.2" customHeight="1" x14ac:dyDescent="0.25">
      <c r="A55" s="1"/>
      <c r="B55" s="1"/>
      <c r="C55" s="2"/>
      <c r="D55" s="2"/>
      <c r="E55" s="2"/>
    </row>
    <row r="56" spans="1:5" ht="21.2" customHeight="1" x14ac:dyDescent="0.25">
      <c r="A56" s="1"/>
      <c r="B56" s="1"/>
      <c r="C56" s="2"/>
      <c r="D56" s="2"/>
      <c r="E56" s="2"/>
    </row>
    <row r="57" spans="1:5" ht="21.2" customHeight="1" x14ac:dyDescent="0.25">
      <c r="A57" s="1"/>
      <c r="B57" s="1"/>
      <c r="C57" s="2"/>
      <c r="D57" s="2"/>
      <c r="E57" s="2"/>
    </row>
    <row r="58" spans="1:5" ht="15.75" x14ac:dyDescent="0.25">
      <c r="A58" s="1"/>
      <c r="B58" s="1"/>
      <c r="C58" s="2"/>
      <c r="D58" s="2"/>
      <c r="E58" s="2"/>
    </row>
    <row r="59" spans="1:5" ht="15.75" x14ac:dyDescent="0.25">
      <c r="A59" s="1"/>
      <c r="B59" s="1"/>
      <c r="C59" s="2"/>
      <c r="D59" s="2"/>
      <c r="E59" s="2"/>
    </row>
    <row r="60" spans="1:5" ht="15.75" x14ac:dyDescent="0.25">
      <c r="A60" s="1"/>
      <c r="B60" s="1"/>
      <c r="C60" s="2"/>
      <c r="D60" s="2"/>
      <c r="E60" s="2"/>
    </row>
    <row r="61" spans="1:5" ht="15.75" x14ac:dyDescent="0.25">
      <c r="A61" s="1"/>
      <c r="B61" s="1"/>
      <c r="C61" s="2"/>
      <c r="D61" s="2"/>
      <c r="E61" s="2"/>
    </row>
    <row r="62" spans="1:5" ht="15.75" x14ac:dyDescent="0.25">
      <c r="A62" s="1"/>
      <c r="B62" s="1"/>
      <c r="C62" s="2"/>
      <c r="D62" s="2"/>
      <c r="E62" s="2"/>
    </row>
    <row r="63" spans="1:5" ht="15.75" x14ac:dyDescent="0.25">
      <c r="A63" s="1"/>
      <c r="B63" s="1"/>
      <c r="C63" s="2"/>
      <c r="D63" s="2"/>
      <c r="E63" s="2"/>
    </row>
    <row r="64" spans="1:5" ht="15.75" x14ac:dyDescent="0.25">
      <c r="A64" s="1"/>
      <c r="B64" s="1"/>
      <c r="C64" s="2"/>
      <c r="D64" s="2"/>
      <c r="E64" s="2"/>
    </row>
    <row r="65" spans="1:5" ht="15.75" x14ac:dyDescent="0.25">
      <c r="A65" s="1"/>
      <c r="B65" s="1"/>
      <c r="C65" s="2"/>
      <c r="D65" s="2"/>
      <c r="E65" s="2"/>
    </row>
    <row r="66" spans="1:5" ht="15.75" x14ac:dyDescent="0.25">
      <c r="A66" s="1"/>
      <c r="B66" s="1"/>
      <c r="C66" s="2"/>
      <c r="D66" s="2"/>
      <c r="E66" s="2"/>
    </row>
    <row r="67" spans="1:5" ht="15.75" x14ac:dyDescent="0.25">
      <c r="A67" s="1"/>
      <c r="B67" s="1"/>
      <c r="C67" s="2"/>
      <c r="D67" s="2"/>
      <c r="E67" s="2"/>
    </row>
    <row r="68" spans="1:5" ht="15.75" x14ac:dyDescent="0.25">
      <c r="A68" s="1"/>
      <c r="B68" s="1"/>
      <c r="C68" s="2"/>
      <c r="D68" s="2"/>
      <c r="E68" s="2"/>
    </row>
    <row r="69" spans="1:5" ht="15.75" x14ac:dyDescent="0.25">
      <c r="A69" s="1"/>
      <c r="B69" s="1"/>
      <c r="C69" s="2"/>
      <c r="D69" s="2"/>
      <c r="E69" s="2"/>
    </row>
    <row r="70" spans="1:5" ht="15.75" x14ac:dyDescent="0.25">
      <c r="A70" s="1"/>
      <c r="B70" s="1"/>
      <c r="C70" s="2"/>
      <c r="D70" s="2"/>
      <c r="E70" s="2"/>
    </row>
    <row r="71" spans="1:5" ht="15.75" x14ac:dyDescent="0.25">
      <c r="A71" s="1"/>
      <c r="B71" s="1"/>
      <c r="C71" s="2"/>
      <c r="D71" s="2"/>
      <c r="E71" s="2"/>
    </row>
    <row r="72" spans="1:5" ht="15.75" x14ac:dyDescent="0.25">
      <c r="A72" s="1"/>
      <c r="B72" s="1"/>
      <c r="C72" s="2"/>
      <c r="D72" s="2"/>
      <c r="E72" s="2"/>
    </row>
    <row r="73" spans="1:5" ht="15.75" x14ac:dyDescent="0.25">
      <c r="A73" s="1"/>
      <c r="B73" s="1"/>
      <c r="C73" s="2"/>
      <c r="D73" s="2"/>
      <c r="E73" s="2"/>
    </row>
    <row r="74" spans="1:5" ht="15.75" x14ac:dyDescent="0.25">
      <c r="A74" s="1"/>
      <c r="B74" s="1"/>
      <c r="C74" s="2"/>
      <c r="D74" s="2"/>
      <c r="E74" s="2"/>
    </row>
    <row r="75" spans="1:5" ht="15.75" x14ac:dyDescent="0.25">
      <c r="A75" s="1"/>
      <c r="B75" s="1"/>
      <c r="C75" s="2"/>
      <c r="D75" s="2"/>
      <c r="E75" s="2"/>
    </row>
    <row r="76" spans="1:5" ht="15.75" x14ac:dyDescent="0.25">
      <c r="A76" s="1"/>
      <c r="B76" s="1"/>
      <c r="C76" s="2"/>
      <c r="D76" s="2"/>
      <c r="E76" s="2"/>
    </row>
    <row r="77" spans="1:5" ht="15.75" x14ac:dyDescent="0.25">
      <c r="A77" s="1"/>
      <c r="B77" s="1"/>
      <c r="C77" s="2"/>
      <c r="D77" s="2"/>
      <c r="E77" s="2"/>
    </row>
    <row r="78" spans="1:5" ht="15.75" x14ac:dyDescent="0.25">
      <c r="A78" s="1"/>
      <c r="B78" s="1"/>
      <c r="C78" s="2"/>
      <c r="D78" s="2"/>
      <c r="E78" s="2"/>
    </row>
    <row r="79" spans="1:5" ht="15.75" x14ac:dyDescent="0.25">
      <c r="A79" s="1"/>
      <c r="B79" s="1"/>
      <c r="C79" s="2"/>
      <c r="D79" s="2"/>
      <c r="E79" s="2"/>
    </row>
    <row r="80" spans="1:5" ht="15.75" x14ac:dyDescent="0.25">
      <c r="A80" s="1"/>
      <c r="B80" s="1"/>
      <c r="C80" s="2"/>
      <c r="D80" s="2"/>
      <c r="E80" s="2"/>
    </row>
    <row r="81" spans="1:5" ht="15.75" x14ac:dyDescent="0.25">
      <c r="A81" s="1"/>
      <c r="B81" s="1"/>
      <c r="C81" s="2"/>
      <c r="D81" s="2"/>
      <c r="E81" s="2"/>
    </row>
    <row r="82" spans="1:5" ht="15.75" x14ac:dyDescent="0.25">
      <c r="A82" s="1"/>
      <c r="B82" s="1"/>
      <c r="C82" s="2"/>
      <c r="D82" s="2"/>
      <c r="E82" s="2"/>
    </row>
    <row r="83" spans="1:5" ht="15.75" x14ac:dyDescent="0.25">
      <c r="A83" s="1"/>
      <c r="B83" s="1"/>
      <c r="C83" s="2"/>
      <c r="D83" s="2"/>
      <c r="E83" s="2"/>
    </row>
    <row r="84" spans="1:5" ht="15.75" x14ac:dyDescent="0.25">
      <c r="A84" s="1"/>
      <c r="B84" s="1"/>
      <c r="C84" s="2"/>
      <c r="D84" s="2"/>
      <c r="E84" s="2"/>
    </row>
    <row r="85" spans="1:5" ht="15.75" x14ac:dyDescent="0.25">
      <c r="A85" s="1"/>
      <c r="B85" s="1"/>
      <c r="C85" s="2"/>
      <c r="D85" s="2"/>
      <c r="E85" s="2"/>
    </row>
    <row r="86" spans="1:5" ht="15.75" x14ac:dyDescent="0.25">
      <c r="A86" s="1"/>
      <c r="B86" s="1"/>
      <c r="C86" s="2"/>
      <c r="D86" s="2"/>
      <c r="E86" s="2"/>
    </row>
    <row r="87" spans="1:5" ht="15.75" x14ac:dyDescent="0.25">
      <c r="A87" s="1"/>
      <c r="B87" s="1"/>
      <c r="C87" s="2"/>
      <c r="D87" s="2"/>
      <c r="E87" s="2"/>
    </row>
    <row r="88" spans="1:5" ht="15.75" x14ac:dyDescent="0.25">
      <c r="A88" s="1"/>
      <c r="B88" s="1"/>
      <c r="C88" s="2"/>
      <c r="D88" s="2"/>
      <c r="E88" s="2"/>
    </row>
    <row r="89" spans="1:5" ht="15.75" x14ac:dyDescent="0.25">
      <c r="A89" s="1"/>
      <c r="B89" s="1"/>
      <c r="C89" s="2"/>
      <c r="D89" s="2"/>
      <c r="E89" s="2"/>
    </row>
    <row r="90" spans="1:5" ht="15.75" x14ac:dyDescent="0.25">
      <c r="A90" s="1"/>
      <c r="B90" s="1"/>
      <c r="C90" s="2"/>
      <c r="D90" s="2"/>
      <c r="E90" s="2"/>
    </row>
    <row r="91" spans="1:5" ht="15.75" x14ac:dyDescent="0.25">
      <c r="A91" s="1"/>
      <c r="B91" s="1"/>
      <c r="C91" s="2"/>
      <c r="D91" s="2"/>
      <c r="E91" s="2"/>
    </row>
    <row r="92" spans="1:5" ht="15.75" x14ac:dyDescent="0.25">
      <c r="A92" s="1"/>
      <c r="B92" s="1"/>
      <c r="C92" s="2"/>
      <c r="D92" s="2"/>
      <c r="E92" s="2"/>
    </row>
    <row r="93" spans="1:5" ht="15.75" x14ac:dyDescent="0.25">
      <c r="A93" s="1"/>
      <c r="B93" s="1"/>
      <c r="C93" s="2"/>
      <c r="D93" s="2"/>
      <c r="E93" s="2"/>
    </row>
    <row r="94" spans="1:5" ht="15.75" x14ac:dyDescent="0.25">
      <c r="A94" s="1"/>
      <c r="B94" s="1"/>
      <c r="C94" s="2"/>
      <c r="D94" s="2"/>
      <c r="E94" s="2"/>
    </row>
    <row r="95" spans="1:5" ht="15.75" x14ac:dyDescent="0.25">
      <c r="A95" s="1"/>
      <c r="B95" s="1"/>
      <c r="C95" s="2"/>
      <c r="D95" s="2"/>
      <c r="E95" s="2"/>
    </row>
    <row r="96" spans="1:5" ht="15.75" x14ac:dyDescent="0.25">
      <c r="A96" s="1"/>
      <c r="B96" s="1"/>
      <c r="C96" s="2"/>
      <c r="D96" s="2"/>
      <c r="E96" s="2"/>
    </row>
    <row r="97" spans="1:5" ht="15.75" x14ac:dyDescent="0.25">
      <c r="A97" s="1"/>
      <c r="B97" s="1"/>
      <c r="C97" s="2"/>
      <c r="D97" s="2"/>
      <c r="E97" s="2"/>
    </row>
    <row r="98" spans="1:5" ht="15.75" x14ac:dyDescent="0.25">
      <c r="A98" s="1"/>
      <c r="B98" s="1"/>
      <c r="C98" s="2"/>
      <c r="D98" s="2"/>
      <c r="E98" s="2"/>
    </row>
    <row r="99" spans="1:5" ht="15.75" x14ac:dyDescent="0.25">
      <c r="A99" s="1"/>
      <c r="B99" s="1"/>
      <c r="C99" s="2"/>
      <c r="D99" s="2"/>
      <c r="E99" s="2"/>
    </row>
    <row r="100" spans="1:5" ht="15.75" x14ac:dyDescent="0.25">
      <c r="A100" s="1"/>
      <c r="B100" s="1"/>
      <c r="C100" s="2"/>
      <c r="D100" s="2"/>
      <c r="E100" s="2"/>
    </row>
    <row r="101" spans="1:5" ht="15.75" x14ac:dyDescent="0.25">
      <c r="A101" s="1"/>
      <c r="B101" s="1"/>
      <c r="C101" s="2"/>
      <c r="D101" s="2"/>
      <c r="E101" s="2"/>
    </row>
    <row r="102" spans="1:5" ht="15.75" x14ac:dyDescent="0.25">
      <c r="A102" s="1"/>
      <c r="B102" s="1"/>
      <c r="C102" s="2"/>
      <c r="D102" s="2"/>
      <c r="E102" s="2"/>
    </row>
    <row r="103" spans="1:5" ht="15.75" x14ac:dyDescent="0.25">
      <c r="A103" s="1"/>
      <c r="B103" s="1"/>
      <c r="C103" s="2"/>
      <c r="D103" s="2"/>
      <c r="E103" s="2"/>
    </row>
  </sheetData>
  <dataValidations count="2">
    <dataValidation type="list" allowBlank="1" showInputMessage="1" showErrorMessage="1" sqref="E3:E21" xr:uid="{A88F6C8E-9921-4600-9543-9290776E1EC4}">
      <formula1>$E$2:$E$21</formula1>
    </dataValidation>
    <dataValidation type="list" allowBlank="1" showInputMessage="1" showErrorMessage="1" sqref="E2" xr:uid="{9C34C92A-DCAF-4CD7-BF58-3E534A0F4F74}">
      <formula1>$B$2:$B$21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44AC-99C9-4F83-9529-320A258C412E}">
  <dimension ref="A1:E12"/>
  <sheetViews>
    <sheetView workbookViewId="0">
      <selection activeCell="E9" sqref="E9"/>
    </sheetView>
  </sheetViews>
  <sheetFormatPr defaultRowHeight="15" x14ac:dyDescent="0.25"/>
  <cols>
    <col min="1" max="1" width="25.7109375" customWidth="1"/>
    <col min="2" max="2" width="25" bestFit="1" customWidth="1"/>
    <col min="3" max="3" width="21.140625" customWidth="1"/>
    <col min="4" max="4" width="34.140625" customWidth="1"/>
  </cols>
  <sheetData>
    <row r="1" spans="1:5" ht="30" customHeight="1" x14ac:dyDescent="0.25">
      <c r="A1" s="12" t="s">
        <v>23</v>
      </c>
      <c r="B1" s="12" t="s">
        <v>24</v>
      </c>
      <c r="C1" s="13" t="s">
        <v>25</v>
      </c>
    </row>
    <row r="2" spans="1:5" ht="30" customHeight="1" x14ac:dyDescent="0.35">
      <c r="A2" s="6" t="s">
        <v>26</v>
      </c>
      <c r="B2" s="6" t="s">
        <v>27</v>
      </c>
      <c r="C2" s="14">
        <v>15000</v>
      </c>
      <c r="D2" s="6" t="s">
        <v>29</v>
      </c>
      <c r="E2" s="11">
        <f>SUMIF(B2:B10,B3,C2:C10)</f>
        <v>27000</v>
      </c>
    </row>
    <row r="3" spans="1:5" ht="30" customHeight="1" x14ac:dyDescent="0.35">
      <c r="A3" s="6" t="s">
        <v>28</v>
      </c>
      <c r="B3" s="6" t="s">
        <v>29</v>
      </c>
      <c r="C3" s="14">
        <v>15000</v>
      </c>
      <c r="D3" s="6" t="s">
        <v>31</v>
      </c>
      <c r="E3" s="11">
        <f>SUMIF($B$2:$B$10,B4,$C$2:$C$10)</f>
        <v>24000</v>
      </c>
    </row>
    <row r="4" spans="1:5" ht="30" customHeight="1" x14ac:dyDescent="0.35">
      <c r="A4" s="6" t="s">
        <v>30</v>
      </c>
      <c r="B4" s="6" t="s">
        <v>31</v>
      </c>
      <c r="C4" s="14">
        <v>12000</v>
      </c>
      <c r="D4" s="6" t="s">
        <v>27</v>
      </c>
      <c r="E4" s="11">
        <f>SUMIF($B$2:$B$10,B5,$C$2:$C$10)</f>
        <v>69000</v>
      </c>
    </row>
    <row r="5" spans="1:5" ht="30" customHeight="1" x14ac:dyDescent="0.35">
      <c r="A5" s="6" t="s">
        <v>32</v>
      </c>
      <c r="B5" s="6" t="s">
        <v>27</v>
      </c>
      <c r="C5" s="14">
        <v>12000</v>
      </c>
    </row>
    <row r="6" spans="1:5" ht="30" customHeight="1" x14ac:dyDescent="0.35">
      <c r="A6" s="6" t="s">
        <v>33</v>
      </c>
      <c r="B6" s="6" t="s">
        <v>27</v>
      </c>
      <c r="C6" s="14">
        <v>15000</v>
      </c>
    </row>
    <row r="7" spans="1:5" ht="30" customHeight="1" x14ac:dyDescent="0.35">
      <c r="A7" s="6" t="s">
        <v>34</v>
      </c>
      <c r="B7" s="6" t="s">
        <v>29</v>
      </c>
      <c r="C7" s="14">
        <v>12000</v>
      </c>
    </row>
    <row r="8" spans="1:5" ht="30" customHeight="1" x14ac:dyDescent="0.35">
      <c r="A8" s="6" t="s">
        <v>35</v>
      </c>
      <c r="B8" s="6" t="s">
        <v>31</v>
      </c>
      <c r="C8" s="14">
        <v>12000</v>
      </c>
    </row>
    <row r="9" spans="1:5" ht="30" customHeight="1" x14ac:dyDescent="0.35">
      <c r="A9" s="6" t="s">
        <v>36</v>
      </c>
      <c r="B9" s="6" t="s">
        <v>27</v>
      </c>
      <c r="C9" s="14">
        <v>15000</v>
      </c>
    </row>
    <row r="10" spans="1:5" ht="30" customHeight="1" x14ac:dyDescent="0.35">
      <c r="A10" s="6" t="s">
        <v>37</v>
      </c>
      <c r="B10" s="6" t="s">
        <v>27</v>
      </c>
      <c r="C10" s="14">
        <v>12000</v>
      </c>
    </row>
    <row r="11" spans="1:5" ht="30" customHeight="1" x14ac:dyDescent="0.25"/>
    <row r="12" spans="1:5" ht="30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2999-4F90-4A1B-86A3-6E3B50A70539}">
  <dimension ref="A1:H10"/>
  <sheetViews>
    <sheetView workbookViewId="0">
      <selection activeCell="H7" sqref="H7"/>
    </sheetView>
  </sheetViews>
  <sheetFormatPr defaultRowHeight="15" x14ac:dyDescent="0.25"/>
  <cols>
    <col min="1" max="1" width="20.7109375" style="19" customWidth="1"/>
    <col min="2" max="2" width="24.42578125" bestFit="1" customWidth="1"/>
    <col min="3" max="4" width="20.7109375" customWidth="1"/>
    <col min="6" max="6" width="19.7109375" customWidth="1"/>
    <col min="7" max="7" width="16.5703125" customWidth="1"/>
    <col min="8" max="8" width="15.140625" customWidth="1"/>
  </cols>
  <sheetData>
    <row r="1" spans="1:8" ht="30" customHeight="1" x14ac:dyDescent="0.35">
      <c r="A1" s="17" t="s">
        <v>38</v>
      </c>
      <c r="B1" s="16" t="s">
        <v>39</v>
      </c>
      <c r="C1" s="16" t="s">
        <v>40</v>
      </c>
      <c r="D1" s="16" t="s">
        <v>41</v>
      </c>
      <c r="F1" s="20" t="s">
        <v>47</v>
      </c>
      <c r="G1" s="20" t="s">
        <v>48</v>
      </c>
      <c r="H1" s="20" t="s">
        <v>49</v>
      </c>
    </row>
    <row r="2" spans="1:8" ht="30" customHeight="1" x14ac:dyDescent="0.35">
      <c r="A2" s="18">
        <v>43739</v>
      </c>
      <c r="B2" s="15" t="s">
        <v>42</v>
      </c>
      <c r="C2" s="15" t="s">
        <v>43</v>
      </c>
      <c r="D2" s="15">
        <v>5000</v>
      </c>
      <c r="F2" s="21" t="s">
        <v>50</v>
      </c>
      <c r="G2" s="21">
        <f>SUMIFS($D$2:$D$10,$B$2:$B$10,$F2,$C$2:$C$10,G$1)</f>
        <v>9500</v>
      </c>
      <c r="H2" s="21">
        <f>SUMIFS($D$2:$D$10,$B$2:$B$10,$F2,$C$2:$C$10,H$1)</f>
        <v>4500</v>
      </c>
    </row>
    <row r="3" spans="1:8" ht="30" customHeight="1" x14ac:dyDescent="0.35">
      <c r="A3" s="18">
        <v>43740</v>
      </c>
      <c r="B3" s="15" t="s">
        <v>44</v>
      </c>
      <c r="C3" s="15" t="s">
        <v>45</v>
      </c>
      <c r="D3" s="15">
        <v>6000</v>
      </c>
      <c r="F3" s="21" t="s">
        <v>51</v>
      </c>
      <c r="G3" s="21">
        <f t="shared" ref="G3:H4" si="0">SUMIFS($D$2:$D$10,$B$2:$B$10,$F3,$C$2:$C$10,G$1)</f>
        <v>6500</v>
      </c>
      <c r="H3" s="21">
        <f t="shared" si="0"/>
        <v>11100</v>
      </c>
    </row>
    <row r="4" spans="1:8" ht="30" customHeight="1" x14ac:dyDescent="0.35">
      <c r="A4" s="18">
        <v>43741</v>
      </c>
      <c r="B4" s="15" t="s">
        <v>42</v>
      </c>
      <c r="C4" s="15" t="s">
        <v>43</v>
      </c>
      <c r="D4" s="15">
        <v>4500</v>
      </c>
      <c r="F4" s="21" t="s">
        <v>52</v>
      </c>
      <c r="G4" s="21">
        <f t="shared" si="0"/>
        <v>7500</v>
      </c>
      <c r="H4" s="21">
        <f t="shared" si="0"/>
        <v>0</v>
      </c>
    </row>
    <row r="5" spans="1:8" ht="30" customHeight="1" x14ac:dyDescent="0.35">
      <c r="A5" s="18">
        <v>43742</v>
      </c>
      <c r="B5" s="15" t="s">
        <v>44</v>
      </c>
      <c r="C5" s="15" t="s">
        <v>43</v>
      </c>
      <c r="D5" s="15">
        <v>6500</v>
      </c>
    </row>
    <row r="6" spans="1:8" ht="30" customHeight="1" x14ac:dyDescent="0.35">
      <c r="A6" s="18">
        <v>43743</v>
      </c>
      <c r="B6" s="15" t="s">
        <v>42</v>
      </c>
      <c r="C6" s="15" t="s">
        <v>45</v>
      </c>
      <c r="D6" s="15">
        <v>4500</v>
      </c>
    </row>
    <row r="7" spans="1:8" ht="30" customHeight="1" x14ac:dyDescent="0.35">
      <c r="A7" s="18">
        <v>43744</v>
      </c>
      <c r="B7" s="15" t="s">
        <v>46</v>
      </c>
      <c r="C7" s="15" t="s">
        <v>43</v>
      </c>
      <c r="D7" s="15">
        <v>6000</v>
      </c>
    </row>
    <row r="8" spans="1:8" ht="30" customHeight="1" x14ac:dyDescent="0.35">
      <c r="A8" s="18">
        <v>43745</v>
      </c>
      <c r="B8" s="15" t="s">
        <v>44</v>
      </c>
      <c r="C8" s="15" t="s">
        <v>45</v>
      </c>
      <c r="D8" s="15">
        <v>4500</v>
      </c>
    </row>
    <row r="9" spans="1:8" ht="30" customHeight="1" x14ac:dyDescent="0.35">
      <c r="A9" s="18">
        <v>43746</v>
      </c>
      <c r="B9" s="15" t="s">
        <v>44</v>
      </c>
      <c r="C9" s="15" t="s">
        <v>45</v>
      </c>
      <c r="D9" s="15">
        <v>600</v>
      </c>
    </row>
    <row r="10" spans="1:8" ht="30" customHeight="1" x14ac:dyDescent="0.35">
      <c r="A10" s="18">
        <v>43747</v>
      </c>
      <c r="B10" s="15" t="s">
        <v>46</v>
      </c>
      <c r="C10" s="15" t="s">
        <v>43</v>
      </c>
      <c r="D10" s="15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10A8-C54B-4168-82F1-51B68C4794DD}">
  <dimension ref="B1:W15"/>
  <sheetViews>
    <sheetView workbookViewId="0">
      <selection activeCell="Y13" sqref="Y13"/>
    </sheetView>
  </sheetViews>
  <sheetFormatPr defaultRowHeight="15" x14ac:dyDescent="0.25"/>
  <cols>
    <col min="2" max="20" width="5.7109375" customWidth="1"/>
    <col min="22" max="22" width="15.140625" customWidth="1"/>
    <col min="23" max="23" width="14.42578125" customWidth="1"/>
  </cols>
  <sheetData>
    <row r="1" spans="2:23" ht="20.100000000000001" customHeight="1" thickBot="1" x14ac:dyDescent="0.3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V1" s="31"/>
      <c r="W1" s="31"/>
    </row>
    <row r="2" spans="2:23" ht="20.100000000000001" customHeight="1" thickBot="1" x14ac:dyDescent="0.4">
      <c r="B2" s="23" t="s">
        <v>53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5"/>
      <c r="V2" s="28" t="s">
        <v>56</v>
      </c>
      <c r="W2" s="29">
        <f>COUNTA(B3:T15)</f>
        <v>136</v>
      </c>
    </row>
    <row r="3" spans="2:23" ht="20.100000000000001" customHeight="1" x14ac:dyDescent="0.35">
      <c r="B3" s="26" t="s">
        <v>54</v>
      </c>
      <c r="C3" s="26" t="s">
        <v>54</v>
      </c>
      <c r="D3" s="26" t="s">
        <v>54</v>
      </c>
      <c r="E3" s="26" t="s">
        <v>54</v>
      </c>
      <c r="F3" s="26" t="s">
        <v>54</v>
      </c>
      <c r="G3" s="26" t="s">
        <v>54</v>
      </c>
      <c r="H3" s="26" t="s">
        <v>54</v>
      </c>
      <c r="I3" s="26" t="s">
        <v>54</v>
      </c>
      <c r="J3" s="26" t="s">
        <v>54</v>
      </c>
      <c r="K3" s="26" t="s">
        <v>54</v>
      </c>
      <c r="L3" s="26" t="s">
        <v>54</v>
      </c>
      <c r="M3" s="26" t="s">
        <v>54</v>
      </c>
      <c r="N3" s="26" t="s">
        <v>54</v>
      </c>
      <c r="O3" s="26" t="s">
        <v>54</v>
      </c>
      <c r="P3" s="26" t="s">
        <v>54</v>
      </c>
      <c r="Q3" s="26" t="s">
        <v>54</v>
      </c>
      <c r="R3" s="26" t="s">
        <v>54</v>
      </c>
      <c r="S3" s="26" t="s">
        <v>54</v>
      </c>
      <c r="T3" s="26" t="s">
        <v>54</v>
      </c>
      <c r="V3" s="30" t="s">
        <v>57</v>
      </c>
      <c r="W3" s="29">
        <f>COUNTBLANK(B3:T15)</f>
        <v>111</v>
      </c>
    </row>
    <row r="4" spans="2:23" ht="20.100000000000001" customHeight="1" x14ac:dyDescent="0.35">
      <c r="B4" s="27" t="s">
        <v>55</v>
      </c>
      <c r="C4" s="27" t="s">
        <v>55</v>
      </c>
      <c r="D4" s="27" t="s">
        <v>55</v>
      </c>
      <c r="E4" s="27" t="s">
        <v>55</v>
      </c>
      <c r="F4" s="27"/>
      <c r="G4" s="27"/>
      <c r="H4" s="27"/>
      <c r="I4" s="27"/>
      <c r="J4" s="27" t="s">
        <v>55</v>
      </c>
      <c r="K4" s="27" t="s">
        <v>55</v>
      </c>
      <c r="L4" s="27" t="s">
        <v>55</v>
      </c>
      <c r="M4" s="27"/>
      <c r="N4" s="27"/>
      <c r="O4" s="27"/>
      <c r="P4" s="27"/>
      <c r="Q4" s="27"/>
      <c r="R4" s="27" t="s">
        <v>55</v>
      </c>
      <c r="S4" s="27" t="s">
        <v>55</v>
      </c>
      <c r="T4" s="27" t="s">
        <v>55</v>
      </c>
      <c r="V4" s="32"/>
      <c r="W4" s="31"/>
    </row>
    <row r="5" spans="2:23" ht="20.100000000000001" customHeight="1" x14ac:dyDescent="0.35">
      <c r="B5" s="27" t="s">
        <v>54</v>
      </c>
      <c r="C5" s="27" t="s">
        <v>54</v>
      </c>
      <c r="D5" s="27" t="s">
        <v>54</v>
      </c>
      <c r="E5" s="27" t="s">
        <v>54</v>
      </c>
      <c r="F5" s="27"/>
      <c r="G5" s="27"/>
      <c r="H5" s="27"/>
      <c r="I5" s="27"/>
      <c r="J5" s="27" t="s">
        <v>54</v>
      </c>
      <c r="K5" s="27" t="s">
        <v>54</v>
      </c>
      <c r="L5" s="27" t="s">
        <v>54</v>
      </c>
      <c r="M5" s="27"/>
      <c r="N5" s="27" t="s">
        <v>55</v>
      </c>
      <c r="O5" s="27"/>
      <c r="P5" s="27"/>
      <c r="Q5" s="27"/>
      <c r="R5" s="27" t="s">
        <v>54</v>
      </c>
      <c r="S5" s="27" t="s">
        <v>54</v>
      </c>
      <c r="T5" s="27" t="s">
        <v>54</v>
      </c>
      <c r="V5" s="32"/>
      <c r="W5" s="31"/>
    </row>
    <row r="6" spans="2:23" ht="20.100000000000001" customHeight="1" x14ac:dyDescent="0.35">
      <c r="B6" s="27" t="s">
        <v>55</v>
      </c>
      <c r="C6" s="27" t="s">
        <v>55</v>
      </c>
      <c r="D6" s="27" t="s">
        <v>55</v>
      </c>
      <c r="E6" s="27" t="s">
        <v>55</v>
      </c>
      <c r="F6" s="27"/>
      <c r="G6" s="27"/>
      <c r="H6" s="27"/>
      <c r="I6" s="27"/>
      <c r="J6" s="27" t="s">
        <v>55</v>
      </c>
      <c r="K6" s="27" t="s">
        <v>55</v>
      </c>
      <c r="L6" s="27" t="s">
        <v>55</v>
      </c>
      <c r="M6" s="27"/>
      <c r="N6" s="27" t="s">
        <v>54</v>
      </c>
      <c r="O6" s="27"/>
      <c r="P6" s="27" t="s">
        <v>55</v>
      </c>
      <c r="Q6" s="27"/>
      <c r="R6" s="27"/>
      <c r="S6" s="27" t="s">
        <v>55</v>
      </c>
      <c r="T6" s="27" t="s">
        <v>55</v>
      </c>
      <c r="V6" s="28" t="s">
        <v>58</v>
      </c>
      <c r="W6" s="29">
        <f>COUNTIF($B$3:$T$15,"M")</f>
        <v>55</v>
      </c>
    </row>
    <row r="7" spans="2:23" ht="20.100000000000001" customHeight="1" x14ac:dyDescent="0.35">
      <c r="B7" s="27" t="s">
        <v>54</v>
      </c>
      <c r="C7" s="27" t="s">
        <v>54</v>
      </c>
      <c r="D7" s="27" t="s">
        <v>54</v>
      </c>
      <c r="E7" s="27" t="s">
        <v>54</v>
      </c>
      <c r="F7" s="27"/>
      <c r="G7" s="27"/>
      <c r="H7" s="27"/>
      <c r="I7" s="27"/>
      <c r="J7" s="27" t="s">
        <v>54</v>
      </c>
      <c r="K7" s="27"/>
      <c r="L7" s="27"/>
      <c r="M7" s="27"/>
      <c r="N7" s="27"/>
      <c r="O7" s="27"/>
      <c r="P7" s="27" t="s">
        <v>54</v>
      </c>
      <c r="Q7" s="27"/>
      <c r="R7" s="27"/>
      <c r="S7" s="27" t="s">
        <v>54</v>
      </c>
      <c r="T7" s="27" t="s">
        <v>54</v>
      </c>
      <c r="V7" s="28" t="s">
        <v>59</v>
      </c>
      <c r="W7" s="29">
        <f>COUNTIF($B$3:$T$15,"F")</f>
        <v>81</v>
      </c>
    </row>
    <row r="8" spans="2:23" ht="20.100000000000001" customHeight="1" x14ac:dyDescent="0.35">
      <c r="B8" s="27" t="s">
        <v>54</v>
      </c>
      <c r="C8" s="27" t="s">
        <v>54</v>
      </c>
      <c r="D8" s="27" t="s">
        <v>54</v>
      </c>
      <c r="E8" s="27" t="s">
        <v>54</v>
      </c>
      <c r="F8" s="27" t="s">
        <v>54</v>
      </c>
      <c r="G8" s="27" t="s">
        <v>54</v>
      </c>
      <c r="H8" s="27" t="s">
        <v>54</v>
      </c>
      <c r="I8" s="27" t="s">
        <v>54</v>
      </c>
      <c r="J8" s="27" t="s">
        <v>54</v>
      </c>
      <c r="K8" s="27"/>
      <c r="L8" s="27"/>
      <c r="M8" s="27"/>
      <c r="N8" s="27"/>
      <c r="O8" s="27" t="s">
        <v>54</v>
      </c>
      <c r="P8" s="27" t="s">
        <v>54</v>
      </c>
      <c r="Q8" s="27"/>
      <c r="R8" s="27"/>
      <c r="S8" s="27" t="s">
        <v>54</v>
      </c>
      <c r="T8" s="27" t="s">
        <v>54</v>
      </c>
    </row>
    <row r="9" spans="2:23" ht="20.100000000000001" customHeight="1" x14ac:dyDescent="0.35">
      <c r="B9" s="27" t="s">
        <v>54</v>
      </c>
      <c r="C9" s="27" t="s">
        <v>54</v>
      </c>
      <c r="D9" s="27" t="s">
        <v>54</v>
      </c>
      <c r="E9" s="27" t="s">
        <v>54</v>
      </c>
      <c r="F9" s="27" t="s">
        <v>54</v>
      </c>
      <c r="G9" s="27" t="s">
        <v>54</v>
      </c>
      <c r="H9" s="27" t="s">
        <v>54</v>
      </c>
      <c r="I9" s="27" t="s">
        <v>54</v>
      </c>
      <c r="J9" s="27" t="s">
        <v>54</v>
      </c>
      <c r="K9" s="27"/>
      <c r="L9" s="27"/>
      <c r="M9" s="27"/>
      <c r="N9" s="27"/>
      <c r="O9" s="27" t="s">
        <v>54</v>
      </c>
      <c r="P9" s="27" t="s">
        <v>54</v>
      </c>
      <c r="Q9" s="27"/>
      <c r="R9" s="27"/>
      <c r="S9" s="27" t="s">
        <v>54</v>
      </c>
      <c r="T9" s="27" t="s">
        <v>54</v>
      </c>
    </row>
    <row r="10" spans="2:23" ht="20.100000000000001" customHeight="1" x14ac:dyDescent="0.35">
      <c r="B10" s="27" t="s">
        <v>54</v>
      </c>
      <c r="C10" s="27" t="s">
        <v>54</v>
      </c>
      <c r="D10" s="27" t="s">
        <v>54</v>
      </c>
      <c r="E10" s="27" t="s">
        <v>54</v>
      </c>
      <c r="F10" s="27" t="s">
        <v>54</v>
      </c>
      <c r="G10" s="27" t="s">
        <v>54</v>
      </c>
      <c r="H10" s="27" t="s">
        <v>54</v>
      </c>
      <c r="I10" s="27" t="s">
        <v>54</v>
      </c>
      <c r="J10" s="27" t="s">
        <v>54</v>
      </c>
      <c r="K10" s="27" t="s">
        <v>54</v>
      </c>
      <c r="L10" s="27" t="s">
        <v>54</v>
      </c>
      <c r="M10" s="27" t="s">
        <v>54</v>
      </c>
      <c r="N10" s="27" t="s">
        <v>54</v>
      </c>
      <c r="O10" s="27" t="s">
        <v>54</v>
      </c>
      <c r="P10" s="27" t="s">
        <v>54</v>
      </c>
      <c r="Q10" s="27"/>
      <c r="R10" s="27"/>
      <c r="S10" s="27" t="s">
        <v>54</v>
      </c>
      <c r="T10" s="27" t="s">
        <v>54</v>
      </c>
    </row>
    <row r="11" spans="2:23" ht="20.100000000000001" customHeight="1" x14ac:dyDescent="0.35">
      <c r="B11" s="27" t="s">
        <v>55</v>
      </c>
      <c r="C11" s="27" t="s">
        <v>55</v>
      </c>
      <c r="D11" s="27"/>
      <c r="E11" s="27"/>
      <c r="F11" s="27"/>
      <c r="G11" s="27"/>
      <c r="H11" s="27"/>
      <c r="I11" s="27"/>
      <c r="J11" s="27"/>
      <c r="K11" s="27" t="s">
        <v>55</v>
      </c>
      <c r="L11" s="27" t="s">
        <v>55</v>
      </c>
      <c r="M11" s="27" t="s">
        <v>55</v>
      </c>
      <c r="N11" s="27" t="s">
        <v>55</v>
      </c>
      <c r="O11" s="27" t="s">
        <v>55</v>
      </c>
      <c r="P11" s="27" t="s">
        <v>55</v>
      </c>
      <c r="Q11" s="27"/>
      <c r="R11" s="27"/>
      <c r="S11" s="27" t="s">
        <v>55</v>
      </c>
      <c r="T11" s="27" t="s">
        <v>55</v>
      </c>
    </row>
    <row r="12" spans="2:23" ht="20.100000000000001" customHeight="1" x14ac:dyDescent="0.35">
      <c r="B12" s="27" t="s">
        <v>55</v>
      </c>
      <c r="C12" s="27" t="s">
        <v>55</v>
      </c>
      <c r="D12" s="27"/>
      <c r="E12" s="27"/>
      <c r="F12" s="27"/>
      <c r="G12" s="27"/>
      <c r="H12" s="27"/>
      <c r="I12" s="27"/>
      <c r="J12" s="27"/>
      <c r="K12" s="27" t="s">
        <v>55</v>
      </c>
      <c r="L12" s="27" t="s">
        <v>55</v>
      </c>
      <c r="M12" s="27"/>
      <c r="N12" s="27"/>
      <c r="O12" s="27"/>
      <c r="P12" s="27"/>
      <c r="Q12" s="27"/>
      <c r="R12" s="27"/>
      <c r="S12" s="27" t="s">
        <v>55</v>
      </c>
      <c r="T12" s="27" t="s">
        <v>55</v>
      </c>
    </row>
    <row r="13" spans="2:23" ht="20.100000000000001" customHeight="1" x14ac:dyDescent="0.35">
      <c r="B13" s="27" t="s">
        <v>55</v>
      </c>
      <c r="C13" s="27" t="s">
        <v>55</v>
      </c>
      <c r="D13" s="27"/>
      <c r="E13" s="27"/>
      <c r="F13" s="27"/>
      <c r="G13" s="27"/>
      <c r="H13" s="27"/>
      <c r="I13" s="27"/>
      <c r="J13" s="27"/>
      <c r="K13" s="27" t="s">
        <v>55</v>
      </c>
      <c r="L13" s="27" t="s">
        <v>55</v>
      </c>
      <c r="M13" s="27"/>
      <c r="N13" s="27"/>
      <c r="O13" s="27"/>
      <c r="P13" s="27"/>
      <c r="Q13" s="27"/>
      <c r="R13" s="27"/>
      <c r="S13" s="27" t="s">
        <v>55</v>
      </c>
      <c r="T13" s="27" t="s">
        <v>55</v>
      </c>
    </row>
    <row r="14" spans="2:23" ht="20.100000000000001" customHeight="1" x14ac:dyDescent="0.35">
      <c r="B14" s="27" t="s">
        <v>55</v>
      </c>
      <c r="C14" s="27" t="s">
        <v>55</v>
      </c>
      <c r="D14" s="27"/>
      <c r="E14" s="27"/>
      <c r="F14" s="27"/>
      <c r="G14" s="27"/>
      <c r="H14" s="27"/>
      <c r="I14" s="27"/>
      <c r="J14" s="27"/>
      <c r="K14" s="27" t="s">
        <v>55</v>
      </c>
      <c r="L14" s="27" t="s">
        <v>55</v>
      </c>
      <c r="M14" s="27"/>
      <c r="N14" s="27"/>
      <c r="O14" s="27"/>
      <c r="P14" s="27"/>
      <c r="Q14" s="27"/>
      <c r="R14" s="27"/>
      <c r="S14" s="27" t="s">
        <v>55</v>
      </c>
      <c r="T14" s="27" t="s">
        <v>55</v>
      </c>
    </row>
    <row r="15" spans="2:23" ht="20.100000000000001" customHeight="1" x14ac:dyDescent="0.35">
      <c r="B15" s="27" t="s">
        <v>55</v>
      </c>
      <c r="C15" s="27" t="s">
        <v>55</v>
      </c>
      <c r="D15" s="27"/>
      <c r="E15" s="27"/>
      <c r="F15" s="27"/>
      <c r="G15" s="27"/>
      <c r="H15" s="27"/>
      <c r="I15" s="27"/>
      <c r="J15" s="27"/>
      <c r="K15" s="27" t="s">
        <v>55</v>
      </c>
      <c r="L15" s="27" t="s">
        <v>55</v>
      </c>
      <c r="M15" s="27"/>
      <c r="N15" s="27"/>
      <c r="O15" s="27"/>
      <c r="P15" s="27"/>
      <c r="Q15" s="27"/>
      <c r="R15" s="27"/>
      <c r="S15" s="27" t="s">
        <v>55</v>
      </c>
      <c r="T15" s="27" t="s">
        <v>55</v>
      </c>
    </row>
  </sheetData>
  <mergeCells count="1">
    <mergeCell ref="B2:T2"/>
  </mergeCells>
  <conditionalFormatting sqref="B3:T15 V3">
    <cfRule type="cellIs" dxfId="4" priority="4" operator="equal">
      <formula>"M"</formula>
    </cfRule>
    <cfRule type="cellIs" dxfId="3" priority="5" operator="equal">
      <formula>"F"</formula>
    </cfRule>
  </conditionalFormatting>
  <conditionalFormatting sqref="V10">
    <cfRule type="cellIs" dxfId="2" priority="3" operator="equal">
      <formula>"F"</formula>
    </cfRule>
  </conditionalFormatting>
  <conditionalFormatting sqref="B3:T15">
    <cfRule type="cellIs" dxfId="1" priority="1" operator="equal">
      <formula>"M"</formula>
    </cfRule>
    <cfRule type="containsText" dxfId="0" priority="2" operator="containsText" text="F">
      <formula>NOT(ISERROR(SEARCH("F",B3)))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83F8-CFD6-4C7D-A598-52F25107C84C}">
  <dimension ref="A1:D19"/>
  <sheetViews>
    <sheetView workbookViewId="0">
      <selection activeCell="I17" sqref="I17"/>
    </sheetView>
  </sheetViews>
  <sheetFormatPr defaultRowHeight="15" outlineLevelRow="2" x14ac:dyDescent="0.25"/>
  <cols>
    <col min="1" max="1" width="18.28515625" style="19" customWidth="1"/>
    <col min="2" max="2" width="21.85546875" customWidth="1"/>
    <col min="3" max="3" width="17.85546875" customWidth="1"/>
    <col min="4" max="4" width="15.7109375" customWidth="1"/>
  </cols>
  <sheetData>
    <row r="1" spans="1:4" ht="24.95" customHeight="1" x14ac:dyDescent="0.35">
      <c r="A1" s="33" t="s">
        <v>38</v>
      </c>
      <c r="B1" s="34" t="s">
        <v>39</v>
      </c>
      <c r="C1" s="34" t="s">
        <v>40</v>
      </c>
      <c r="D1" s="34" t="s">
        <v>41</v>
      </c>
    </row>
    <row r="2" spans="1:4" ht="24.95" customHeight="1" outlineLevel="2" x14ac:dyDescent="0.35">
      <c r="A2" s="40">
        <v>46297</v>
      </c>
      <c r="B2" s="15" t="s">
        <v>44</v>
      </c>
      <c r="C2" s="15" t="s">
        <v>45</v>
      </c>
      <c r="D2" s="15">
        <v>6000</v>
      </c>
    </row>
    <row r="3" spans="1:4" ht="24.95" customHeight="1" outlineLevel="2" x14ac:dyDescent="0.35">
      <c r="A3" s="40">
        <v>46298</v>
      </c>
      <c r="B3" s="15" t="s">
        <v>44</v>
      </c>
      <c r="C3" s="15" t="s">
        <v>43</v>
      </c>
      <c r="D3" s="15">
        <v>6500</v>
      </c>
    </row>
    <row r="4" spans="1:4" ht="24.95" customHeight="1" outlineLevel="2" x14ac:dyDescent="0.35">
      <c r="A4" s="40">
        <v>46299</v>
      </c>
      <c r="B4" s="15" t="s">
        <v>44</v>
      </c>
      <c r="C4" s="15" t="s">
        <v>45</v>
      </c>
      <c r="D4" s="15">
        <v>4500</v>
      </c>
    </row>
    <row r="5" spans="1:4" ht="24.95" customHeight="1" outlineLevel="2" x14ac:dyDescent="0.35">
      <c r="A5" s="40">
        <v>46300</v>
      </c>
      <c r="B5" s="15" t="s">
        <v>44</v>
      </c>
      <c r="C5" s="15" t="s">
        <v>45</v>
      </c>
      <c r="D5" s="15">
        <v>600</v>
      </c>
    </row>
    <row r="6" spans="1:4" ht="24.95" customHeight="1" outlineLevel="1" x14ac:dyDescent="0.35">
      <c r="A6" s="42"/>
      <c r="B6" s="38" t="s">
        <v>60</v>
      </c>
      <c r="C6" s="39"/>
      <c r="D6" s="39">
        <f>SUBTOTAL(9,D2:D5)</f>
        <v>17600</v>
      </c>
    </row>
    <row r="7" spans="1:4" ht="24.95" customHeight="1" outlineLevel="2" x14ac:dyDescent="0.35">
      <c r="A7" s="40">
        <v>46302</v>
      </c>
      <c r="B7" s="15" t="s">
        <v>46</v>
      </c>
      <c r="C7" s="15" t="s">
        <v>43</v>
      </c>
      <c r="D7" s="15">
        <v>6000</v>
      </c>
    </row>
    <row r="8" spans="1:4" ht="24.95" customHeight="1" outlineLevel="2" x14ac:dyDescent="0.35">
      <c r="A8" s="40">
        <v>46303</v>
      </c>
      <c r="B8" s="15" t="s">
        <v>46</v>
      </c>
      <c r="C8" s="15" t="s">
        <v>43</v>
      </c>
      <c r="D8" s="15">
        <v>1500</v>
      </c>
    </row>
    <row r="9" spans="1:4" ht="24.95" customHeight="1" outlineLevel="2" x14ac:dyDescent="0.35">
      <c r="A9" s="40">
        <v>46304</v>
      </c>
      <c r="B9" s="15" t="s">
        <v>46</v>
      </c>
      <c r="C9" s="15" t="s">
        <v>43</v>
      </c>
      <c r="D9" s="15">
        <v>1450</v>
      </c>
    </row>
    <row r="10" spans="1:4" ht="24.95" customHeight="1" outlineLevel="2" x14ac:dyDescent="0.35">
      <c r="A10" s="40">
        <v>46305</v>
      </c>
      <c r="B10" s="15" t="s">
        <v>46</v>
      </c>
      <c r="C10" s="15" t="s">
        <v>43</v>
      </c>
      <c r="D10" s="15">
        <v>2560</v>
      </c>
    </row>
    <row r="11" spans="1:4" ht="24.95" customHeight="1" outlineLevel="1" x14ac:dyDescent="0.35">
      <c r="A11" s="42"/>
      <c r="B11" s="38" t="s">
        <v>61</v>
      </c>
      <c r="C11" s="39"/>
      <c r="D11" s="39">
        <f>SUBTOTAL(9,D7:D10)</f>
        <v>11510</v>
      </c>
    </row>
    <row r="12" spans="1:4" ht="24.95" customHeight="1" outlineLevel="2" x14ac:dyDescent="0.35">
      <c r="A12" s="40">
        <v>46307</v>
      </c>
      <c r="B12" s="15" t="s">
        <v>42</v>
      </c>
      <c r="C12" s="15" t="s">
        <v>43</v>
      </c>
      <c r="D12" s="15">
        <v>5000</v>
      </c>
    </row>
    <row r="13" spans="1:4" ht="24.95" customHeight="1" outlineLevel="2" x14ac:dyDescent="0.35">
      <c r="A13" s="40">
        <v>46308</v>
      </c>
      <c r="B13" s="15" t="s">
        <v>42</v>
      </c>
      <c r="C13" s="15" t="s">
        <v>43</v>
      </c>
      <c r="D13" s="15">
        <v>4500</v>
      </c>
    </row>
    <row r="14" spans="1:4" ht="24.95" customHeight="1" outlineLevel="2" x14ac:dyDescent="0.35">
      <c r="A14" s="40">
        <v>46309</v>
      </c>
      <c r="B14" s="15" t="s">
        <v>42</v>
      </c>
      <c r="C14" s="15" t="s">
        <v>45</v>
      </c>
      <c r="D14" s="15">
        <v>4500</v>
      </c>
    </row>
    <row r="15" spans="1:4" ht="24.95" customHeight="1" outlineLevel="2" x14ac:dyDescent="0.35">
      <c r="A15" s="40">
        <v>46310</v>
      </c>
      <c r="B15" s="15" t="s">
        <v>42</v>
      </c>
      <c r="C15" s="15" t="s">
        <v>45</v>
      </c>
      <c r="D15" s="15">
        <v>650</v>
      </c>
    </row>
    <row r="16" spans="1:4" ht="24.95" customHeight="1" outlineLevel="1" x14ac:dyDescent="0.35">
      <c r="A16" s="38"/>
      <c r="B16" s="38" t="s">
        <v>62</v>
      </c>
      <c r="C16" s="38"/>
      <c r="D16" s="38">
        <f>SUBTOTAL(9,D12:D15)</f>
        <v>14650</v>
      </c>
    </row>
    <row r="17" spans="1:4" ht="24.95" customHeight="1" x14ac:dyDescent="0.35">
      <c r="A17" s="41"/>
      <c r="B17" s="36" t="s">
        <v>63</v>
      </c>
      <c r="C17" s="37"/>
      <c r="D17" s="37">
        <f>SUBTOTAL(9,D2:D15)</f>
        <v>43760</v>
      </c>
    </row>
    <row r="18" spans="1:4" ht="24.95" customHeight="1" outlineLevel="1" x14ac:dyDescent="0.35">
      <c r="A18" s="35"/>
      <c r="B18" s="36"/>
      <c r="C18" s="37"/>
    </row>
    <row r="19" spans="1:4" ht="24.95" customHeight="1" x14ac:dyDescent="0.35">
      <c r="A19" s="35"/>
      <c r="B19" s="36"/>
      <c r="C19" s="37"/>
    </row>
  </sheetData>
  <sortState xmlns:xlrd2="http://schemas.microsoft.com/office/spreadsheetml/2017/richdata2" ref="A2:D15">
    <sortCondition ref="B2:B1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01BF-F0E0-4212-A13F-6C9B30177D71}">
  <dimension ref="A1:C6"/>
  <sheetViews>
    <sheetView tabSelected="1" workbookViewId="0">
      <selection activeCell="C12" sqref="C12"/>
    </sheetView>
  </sheetViews>
  <sheetFormatPr defaultRowHeight="15" x14ac:dyDescent="0.25"/>
  <cols>
    <col min="1" max="3" width="20.7109375" customWidth="1"/>
  </cols>
  <sheetData>
    <row r="1" spans="1:3" ht="20.100000000000001" customHeight="1" x14ac:dyDescent="0.35">
      <c r="A1" s="43" t="s">
        <v>64</v>
      </c>
      <c r="B1" s="43" t="s">
        <v>65</v>
      </c>
      <c r="C1" s="43" t="s">
        <v>66</v>
      </c>
    </row>
    <row r="2" spans="1:3" ht="20.100000000000001" customHeight="1" x14ac:dyDescent="0.35">
      <c r="A2" s="44" t="s">
        <v>67</v>
      </c>
      <c r="B2" s="45">
        <v>3</v>
      </c>
      <c r="C2" s="46" t="str">
        <f>REPT("*",B2)</f>
        <v>***</v>
      </c>
    </row>
    <row r="3" spans="1:3" ht="20.100000000000001" customHeight="1" x14ac:dyDescent="0.35">
      <c r="A3" s="44" t="s">
        <v>68</v>
      </c>
      <c r="B3" s="45">
        <v>5</v>
      </c>
      <c r="C3" s="46" t="str">
        <f>REPT("#",B3)</f>
        <v>#####</v>
      </c>
    </row>
    <row r="4" spans="1:3" ht="20.100000000000001" customHeight="1" x14ac:dyDescent="0.35">
      <c r="A4" s="44" t="s">
        <v>69</v>
      </c>
      <c r="B4" s="45">
        <v>3</v>
      </c>
      <c r="C4" s="46" t="str">
        <f>REPT("@",3)</f>
        <v>@@@</v>
      </c>
    </row>
    <row r="5" spans="1:3" ht="20.100000000000001" customHeight="1" x14ac:dyDescent="0.35">
      <c r="A5" s="44" t="s">
        <v>70</v>
      </c>
      <c r="B5" s="45">
        <v>2</v>
      </c>
      <c r="C5" s="46" t="str">
        <f>REPT("$",B5)</f>
        <v>$$</v>
      </c>
    </row>
    <row r="6" spans="1:3" ht="20.100000000000001" customHeight="1" x14ac:dyDescent="0.35">
      <c r="A6" s="44" t="s">
        <v>71</v>
      </c>
      <c r="B6" s="45">
        <v>1</v>
      </c>
      <c r="C6" s="46" t="str">
        <f>REPT("&amp;",B6)</f>
        <v>&amp;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Frequency</vt:lpstr>
      <vt:lpstr>Index &amp; Match</vt:lpstr>
      <vt:lpstr>Lookup</vt:lpstr>
      <vt:lpstr>SUMIF</vt:lpstr>
      <vt:lpstr>SUMIFS</vt:lpstr>
      <vt:lpstr>CountA &amp; CountBlank</vt:lpstr>
      <vt:lpstr>Subtotal</vt:lpstr>
      <vt:lpstr>Rept</vt:lpstr>
      <vt:lpstr>Lookup!Commision_Rate</vt:lpstr>
      <vt:lpstr>'Index &amp; Match'!Sales_Officer</vt:lpstr>
      <vt:lpstr>Sales_Officer</vt:lpstr>
      <vt:lpstr>'Index &amp; Match'!Sales_Revenue</vt:lpstr>
      <vt:lpstr>Sales_Revenue</vt:lpstr>
      <vt:lpstr>'Index &amp; Match'!Tax_Payable</vt:lpstr>
      <vt:lpstr>Tax_Payable</vt:lpstr>
      <vt:lpstr>Lookup!Tax_Rate</vt:lpstr>
      <vt:lpstr>'Index &amp; Match'!Total_Commision</vt:lpstr>
      <vt:lpstr>Total_Commision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Md Ashraf Uddin</cp:lastModifiedBy>
  <dcterms:created xsi:type="dcterms:W3CDTF">2020-04-05T14:45:21Z</dcterms:created>
  <dcterms:modified xsi:type="dcterms:W3CDTF">2026-10-04T17:08:40Z</dcterms:modified>
</cp:coreProperties>
</file>
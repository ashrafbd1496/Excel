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J:\Excel Learning 2026\"/>
    </mc:Choice>
  </mc:AlternateContent>
  <xr:revisionPtr revIDLastSave="0" documentId="13_ncr:1_{7BA97750-187D-4D43-8FE6-49DCAF5B6916}" xr6:coauthVersionLast="47" xr6:coauthVersionMax="47" xr10:uidLastSave="{00000000-0000-0000-0000-000000000000}"/>
  <bookViews>
    <workbookView xWindow="3630" yWindow="675" windowWidth="24825" windowHeight="12660" xr2:uid="{00000000-000D-0000-FFFF-FFFF00000000}"/>
  </bookViews>
  <sheets>
    <sheet name="PivotTable" sheetId="1" r:id="rId1"/>
  </sheets>
  <definedNames>
    <definedName name="_xlchart.v1.0" hidden="1">PivotTable!$B$3:$C$16</definedName>
    <definedName name="_xlchart.v1.1" hidden="1">PivotTable!$D$2</definedName>
    <definedName name="_xlchart.v1.2" hidden="1">PivotTable!$D$3:$D$16</definedName>
    <definedName name="_xlchart.v1.3" hidden="1">PivotTable!$B$3:$C$16</definedName>
    <definedName name="_xlchart.v1.4" hidden="1">PivotTable!$D$2</definedName>
    <definedName name="_xlchart.v1.5" hidden="1">PivotTable!$D$3:$D$16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 a="1"/>
  <c r="C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<sst xmlns="http://schemas.openxmlformats.org/spreadsheetml/2006/main" count="36" uniqueCount="16">
  <si>
    <t>CAP VASELINE TM SOFT OATS 200ML</t>
  </si>
  <si>
    <t>CAP VIM HDW STD LIQUID PROEVO IMP 500ML</t>
  </si>
  <si>
    <t>CAP CLEAR MEN SHAMPOO MRP 350ML</t>
  </si>
  <si>
    <t>CAP CLEAR MEN SHAMPOO 180ML</t>
  </si>
  <si>
    <t>CAP CLEAR MEN SHAMPOO  80ML</t>
  </si>
  <si>
    <t>CAP LB LIQUID HAND SOAP TOTAL 1100TK 5L</t>
  </si>
  <si>
    <t>PLUG LIFEBUOY LIQUID HND SOAP 1100TK 5L</t>
  </si>
  <si>
    <t>CAP VASELINE LOT HW T-20 200ML</t>
  </si>
  <si>
    <t>HOT MELT ADHESIVE-IP2600</t>
  </si>
  <si>
    <t>M Code</t>
  </si>
  <si>
    <t>M Desc</t>
  </si>
  <si>
    <t>Qty</t>
  </si>
  <si>
    <t>Row Labels</t>
  </si>
  <si>
    <t>Grand Total</t>
  </si>
  <si>
    <t>Sum of Qty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</si>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</sst>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0" xfId="0" applyFont="1"/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vertical="top"/>
    </xf>
    <xf numFmtId="0" fontId="0" fillId="0" borderId="1" xfId="0" applyFont="1" applyBorder="1"/>
    <xf numFmtId="0" fontId="0" fillId="0" borderId="1" xfId="0" applyFont="1" applyBorder="1" applyAlignment="1">
      <alignment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NumberFormat="1" applyFill="1"/>
    <xf numFmtId="0" fontId="3" fillId="0" borderId="0" xfId="0" applyFont="1" applyAlignment="1">
      <alignment horizontal="center"/>
    </xf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1"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[Pivot_table_practice_13.09.26.xlsx]PivotTable!PivotTable3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PivotTable!$G$11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PivotTable!$F$12:$F$21</c:f>
              <c:strCache>
                <c:ptCount val="9"/>
                <c:pt idx="0">
                  <c:v>CAP CLEAR MEN SHAMPOO  80ML</c:v>
                </c:pt>
                <c:pt idx="1">
                  <c:v>CAP CLEAR MEN SHAMPOO 180ML</c:v>
                </c:pt>
                <c:pt idx="2">
                  <c:v>CAP CLEAR MEN SHAMPOO MRP 350ML</c:v>
                </c:pt>
                <c:pt idx="3">
                  <c:v>CAP LB LIQUID HAND SOAP TOTAL 1100TK 5L</c:v>
                </c:pt>
                <c:pt idx="4">
                  <c:v>CAP VASELINE LOT HW T-20 200ML</c:v>
                </c:pt>
                <c:pt idx="5">
                  <c:v>CAP VASELINE TM SOFT OATS 200ML</c:v>
                </c:pt>
                <c:pt idx="6">
                  <c:v>CAP VIM HDW STD LIQUID PROEVO IMP 500ML</c:v>
                </c:pt>
                <c:pt idx="7">
                  <c:v>HOT MELT ADHESIVE-IP2600</c:v>
                </c:pt>
                <c:pt idx="8">
                  <c:v>PLUG LIFEBUOY LIQUID HND SOAP 1100TK 5L</c:v>
                </c:pt>
              </c:strCache>
            </c:strRef>
          </c:cat>
          <c:val>
            <c:numRef>
              <c:f>PivotTable!$G$12:$G$21</c:f>
              <c:numCache>
                <c:formatCode>General</c:formatCode>
                <c:ptCount val="9"/>
                <c:pt idx="0">
                  <c:v>3624</c:v>
                </c:pt>
                <c:pt idx="1">
                  <c:v>12458</c:v>
                </c:pt>
                <c:pt idx="2">
                  <c:v>5489</c:v>
                </c:pt>
                <c:pt idx="3">
                  <c:v>179622</c:v>
                </c:pt>
                <c:pt idx="4">
                  <c:v>12589</c:v>
                </c:pt>
                <c:pt idx="5">
                  <c:v>5485</c:v>
                </c:pt>
                <c:pt idx="6">
                  <c:v>2156</c:v>
                </c:pt>
                <c:pt idx="7">
                  <c:v>52865</c:v>
                </c:pt>
                <c:pt idx="8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D-4405-9EA1-F0273D722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1546832"/>
        <c:axId val="1711547312"/>
        <c:axId val="0"/>
      </c:bar3DChart>
      <c:catAx>
        <c:axId val="17115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47312"/>
        <c:crosses val="autoZero"/>
        <c:auto val="1"/>
        <c:lblAlgn val="ctr"/>
        <c:lblOffset val="100"/>
        <c:noMultiLvlLbl val="0"/>
      </c:catAx>
      <c:valAx>
        <c:axId val="1711547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46832"/>
        <c:crosses val="autoZero"/>
        <c:crossBetween val="between"/>
        <c:majorUnit val="20000"/>
        <c:minorUnit val="5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</xdr:colOff>
      <xdr:row>0</xdr:row>
      <xdr:rowOff>176212</xdr:rowOff>
    </xdr:from>
    <xdr:to>
      <xdr:col>15</xdr:col>
      <xdr:colOff>19050</xdr:colOff>
      <xdr:row>15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A5F5E0-E23A-889D-FC1C-C94D44F06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.asraf uddin" refreshedDate="46277.534717361108" createdVersion="8" refreshedVersion="8" minRefreshableVersion="3" recordCount="14" xr:uid="{F6641D09-ABAC-45BB-85BF-E0673943F04E}">
  <cacheSource type="worksheet">
    <worksheetSource ref="B2:D16" sheet="PivotTable"/>
  </cacheSource>
  <cacheFields count="3">
    <cacheField name="M Code" numFmtId="0">
      <sharedItems containsSemiMixedTypes="0" containsString="0" containsNumber="1" containsInteger="1" minValue="20267476" maxValue="65173293" count="9">
        <n v="20267476"/>
        <n v="21013300"/>
        <n v="21042187"/>
        <n v="21042194"/>
        <n v="21042201"/>
        <n v="21085268"/>
        <n v="21085274"/>
        <n v="21112054"/>
        <n v="65173293"/>
      </sharedItems>
    </cacheField>
    <cacheField name="M Desc" numFmtId="0">
      <sharedItems count="9">
        <s v="CAP VASELINE TM SOFT OATS 200ML"/>
        <s v="CAP VIM HDW STD LIQUID PROEVO IMP 500ML"/>
        <s v="CAP CLEAR MEN SHAMPOO MRP 350ML"/>
        <s v="CAP CLEAR MEN SHAMPOO 180ML"/>
        <s v="CAP CLEAR MEN SHAMPOO  80ML"/>
        <s v="CAP LB LIQUID HAND SOAP TOTAL 1100TK 5L"/>
        <s v="PLUG LIFEBUOY LIQUID HND SOAP 1100TK 5L"/>
        <s v="CAP VASELINE LOT HW T-20 200ML"/>
        <s v="HOT MELT ADHESIVE-IP2600"/>
      </sharedItems>
    </cacheField>
    <cacheField name="Qty" numFmtId="0">
      <sharedItems containsSemiMixedTypes="0" containsString="0" containsNumber="1" containsInteger="1" minValue="1423" maxValue="598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5485"/>
  </r>
  <r>
    <x v="1"/>
    <x v="1"/>
    <n v="2156"/>
  </r>
  <r>
    <x v="2"/>
    <x v="2"/>
    <n v="5489"/>
  </r>
  <r>
    <x v="3"/>
    <x v="3"/>
    <n v="12458"/>
  </r>
  <r>
    <x v="4"/>
    <x v="4"/>
    <n v="3624"/>
  </r>
  <r>
    <x v="5"/>
    <x v="5"/>
    <n v="59874"/>
  </r>
  <r>
    <x v="6"/>
    <x v="6"/>
    <n v="2563"/>
  </r>
  <r>
    <x v="7"/>
    <x v="7"/>
    <n v="12589"/>
  </r>
  <r>
    <x v="8"/>
    <x v="8"/>
    <n v="1423"/>
  </r>
  <r>
    <x v="8"/>
    <x v="8"/>
    <n v="48596"/>
  </r>
  <r>
    <x v="5"/>
    <x v="5"/>
    <n v="59874"/>
  </r>
  <r>
    <x v="5"/>
    <x v="5"/>
    <n v="59874"/>
  </r>
  <r>
    <x v="8"/>
    <x v="8"/>
    <n v="1423"/>
  </r>
  <r>
    <x v="8"/>
    <x v="8"/>
    <n v="14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A715D-6382-4372-A240-DE25ED74EBD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1:G21" firstHeaderRow="1" firstDataRow="1" firstDataCol="1"/>
  <pivotFields count="3">
    <pivotField showAll="0"/>
    <pivotField axis="axisRow" showAll="0">
      <items count="10">
        <item x="4"/>
        <item x="3"/>
        <item x="2"/>
        <item x="5"/>
        <item x="7"/>
        <item x="0"/>
        <item x="1"/>
        <item x="8"/>
        <item x="6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ty" fld="2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F11E4-51D5-4E05-9F15-F37E463C43F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:G7" firstHeaderRow="1" firstDataRow="1" firstDataCol="1"/>
  <pivotFields count="3">
    <pivotField axis="axisRow" showAll="0" measure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</pivotFields>
  <rowFields count="1">
    <field x="0"/>
  </rowFields>
  <rowItems count="5">
    <i>
      <x v="3"/>
    </i>
    <i>
      <x v="5"/>
    </i>
    <i>
      <x v="7"/>
    </i>
    <i>
      <x v="8"/>
    </i>
    <i t="grand">
      <x/>
    </i>
  </rowItems>
  <colItems count="1">
    <i/>
  </colItems>
  <dataFields count="1">
    <dataField name="Sum of Q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G21"/>
  <sheetViews>
    <sheetView tabSelected="1" topLeftCell="A10" workbookViewId="0">
      <selection activeCell="D31" sqref="D31"/>
    </sheetView>
  </sheetViews>
  <sheetFormatPr defaultRowHeight="15" x14ac:dyDescent="0.25"/>
  <cols>
    <col min="1" max="1" width="4" customWidth="1"/>
    <col min="2" max="2" width="13.140625" bestFit="1" customWidth="1"/>
    <col min="3" max="3" width="42.42578125" bestFit="1" customWidth="1"/>
    <col min="6" max="6" width="42.42578125" bestFit="1" customWidth="1"/>
    <col min="7" max="8" width="10.7109375" bestFit="1" customWidth="1"/>
  </cols>
  <sheetData>
    <row r="2" spans="2:7" x14ac:dyDescent="0.25">
      <c r="B2" s="1" t="s">
        <v>9</v>
      </c>
      <c r="C2" s="1" t="s">
        <v>10</v>
      </c>
      <c r="D2" s="1" t="s">
        <v>11</v>
      </c>
      <c r="E2" s="2"/>
      <c r="F2" s="8" t="s">
        <v>12</v>
      </c>
      <c r="G2" t="s">
        <v>14</v>
      </c>
    </row>
    <row r="3" spans="2:7" x14ac:dyDescent="0.25">
      <c r="B3" s="3">
        <v>20267476</v>
      </c>
      <c r="C3" s="4" t="s">
        <v>0</v>
      </c>
      <c r="D3" s="5">
        <v>5485</v>
      </c>
      <c r="E3" s="2"/>
      <c r="F3" s="9">
        <v>21042194</v>
      </c>
      <c r="G3" s="7">
        <v>12458</v>
      </c>
    </row>
    <row r="4" spans="2:7" x14ac:dyDescent="0.25">
      <c r="B4" s="3">
        <v>21013300</v>
      </c>
      <c r="C4" s="4" t="s">
        <v>1</v>
      </c>
      <c r="D4" s="5">
        <v>2156</v>
      </c>
      <c r="E4" s="2"/>
      <c r="F4" s="9">
        <v>21085268</v>
      </c>
      <c r="G4" s="7">
        <v>179622</v>
      </c>
    </row>
    <row r="5" spans="2:7" x14ac:dyDescent="0.25">
      <c r="B5" s="3">
        <v>21042187</v>
      </c>
      <c r="C5" s="4" t="s">
        <v>2</v>
      </c>
      <c r="D5" s="5">
        <v>5489</v>
      </c>
      <c r="E5" s="2"/>
      <c r="F5" s="9">
        <v>21112054</v>
      </c>
      <c r="G5" s="7">
        <v>12589</v>
      </c>
    </row>
    <row r="6" spans="2:7" x14ac:dyDescent="0.25">
      <c r="B6" s="3">
        <v>21042194</v>
      </c>
      <c r="C6" s="4" t="s">
        <v>3</v>
      </c>
      <c r="D6" s="5">
        <v>12458</v>
      </c>
      <c r="E6" s="2"/>
      <c r="F6" s="9">
        <v>65173293</v>
      </c>
      <c r="G6" s="7">
        <v>52865</v>
      </c>
    </row>
    <row r="7" spans="2:7" x14ac:dyDescent="0.25">
      <c r="B7" s="3">
        <v>21042201</v>
      </c>
      <c r="C7" s="4" t="s">
        <v>4</v>
      </c>
      <c r="D7" s="5">
        <v>3624</v>
      </c>
      <c r="E7" s="2"/>
      <c r="F7" s="9" t="s">
        <v>13</v>
      </c>
      <c r="G7" s="7">
        <v>257534</v>
      </c>
    </row>
    <row r="8" spans="2:7" x14ac:dyDescent="0.25">
      <c r="B8" s="3">
        <v>21085268</v>
      </c>
      <c r="C8" s="4" t="s">
        <v>5</v>
      </c>
      <c r="D8" s="5">
        <v>59874</v>
      </c>
      <c r="E8" s="2"/>
    </row>
    <row r="9" spans="2:7" x14ac:dyDescent="0.25">
      <c r="B9" s="3">
        <v>21085274</v>
      </c>
      <c r="C9" s="6" t="s">
        <v>6</v>
      </c>
      <c r="D9" s="5">
        <v>2563</v>
      </c>
      <c r="E9" s="2"/>
    </row>
    <row r="10" spans="2:7" x14ac:dyDescent="0.25">
      <c r="B10" s="3">
        <v>21112054</v>
      </c>
      <c r="C10" s="4" t="s">
        <v>7</v>
      </c>
      <c r="D10" s="5">
        <v>12589</v>
      </c>
      <c r="E10" s="2"/>
    </row>
    <row r="11" spans="2:7" x14ac:dyDescent="0.25">
      <c r="B11" s="3">
        <v>65173293</v>
      </c>
      <c r="C11" s="4" t="s">
        <v>8</v>
      </c>
      <c r="D11" s="5">
        <v>1423</v>
      </c>
      <c r="E11" s="2"/>
      <c r="F11" s="8" t="s">
        <v>12</v>
      </c>
      <c r="G11" t="s">
        <v>14</v>
      </c>
    </row>
    <row r="12" spans="2:7" x14ac:dyDescent="0.25">
      <c r="B12" s="3">
        <v>65173293</v>
      </c>
      <c r="C12" s="6" t="s">
        <v>8</v>
      </c>
      <c r="D12" s="5">
        <v>48596</v>
      </c>
      <c r="E12" s="2"/>
      <c r="F12" s="9" t="s">
        <v>4</v>
      </c>
      <c r="G12" s="10">
        <v>3624</v>
      </c>
    </row>
    <row r="13" spans="2:7" x14ac:dyDescent="0.25">
      <c r="B13" s="3">
        <v>21085268</v>
      </c>
      <c r="C13" s="4" t="s">
        <v>5</v>
      </c>
      <c r="D13" s="5">
        <v>59874</v>
      </c>
      <c r="E13" s="2"/>
      <c r="F13" s="9" t="s">
        <v>3</v>
      </c>
      <c r="G13" s="10">
        <v>12458</v>
      </c>
    </row>
    <row r="14" spans="2:7" x14ac:dyDescent="0.25">
      <c r="B14" s="3">
        <v>21085268</v>
      </c>
      <c r="C14" s="4" t="s">
        <v>5</v>
      </c>
      <c r="D14" s="5">
        <v>59874</v>
      </c>
      <c r="E14" s="2"/>
      <c r="F14" s="9" t="s">
        <v>2</v>
      </c>
      <c r="G14" s="10">
        <v>5489</v>
      </c>
    </row>
    <row r="15" spans="2:7" x14ac:dyDescent="0.25">
      <c r="B15" s="3">
        <v>65173293</v>
      </c>
      <c r="C15" s="4" t="s">
        <v>8</v>
      </c>
      <c r="D15" s="5">
        <v>1423</v>
      </c>
      <c r="E15" s="2"/>
      <c r="F15" s="9" t="s">
        <v>5</v>
      </c>
      <c r="G15" s="10">
        <v>179622</v>
      </c>
    </row>
    <row r="16" spans="2:7" x14ac:dyDescent="0.25">
      <c r="B16" s="3">
        <v>65173293</v>
      </c>
      <c r="C16" s="4" t="s">
        <v>8</v>
      </c>
      <c r="D16" s="5">
        <v>1423</v>
      </c>
      <c r="F16" s="9" t="s">
        <v>7</v>
      </c>
      <c r="G16" s="10">
        <v>12589</v>
      </c>
    </row>
    <row r="17" spans="2:7" x14ac:dyDescent="0.25">
      <c r="F17" s="9" t="s">
        <v>0</v>
      </c>
      <c r="G17" s="10">
        <v>5485</v>
      </c>
    </row>
    <row r="18" spans="2:7" x14ac:dyDescent="0.25">
      <c r="F18" s="9" t="s">
        <v>1</v>
      </c>
      <c r="G18" s="10">
        <v>2156</v>
      </c>
    </row>
    <row r="19" spans="2:7" ht="23.25" x14ac:dyDescent="0.35">
      <c r="B19" s="11" t="s">
        <v>15</v>
      </c>
      <c r="C19" s="11"/>
      <c r="F19" s="9" t="s">
        <v>8</v>
      </c>
      <c r="G19" s="10">
        <v>52865</v>
      </c>
    </row>
    <row r="20" spans="2:7" x14ac:dyDescent="0.25">
      <c r="B20" s="13" t="s">
        <v>9</v>
      </c>
      <c r="C20" s="13" t="s">
        <v>10</v>
      </c>
      <c r="D20" s="12" t="s">
        <v>11</v>
      </c>
      <c r="F20" s="9" t="s">
        <v>6</v>
      </c>
      <c r="G20" s="10">
        <v>2563</v>
      </c>
    </row>
    <row r="21" spans="2:7" x14ac:dyDescent="0.25">
      <c r="B21" s="3">
        <v>21085268</v>
      </c>
      <c r="C21" t="str" cm="1">
        <f t="array" ref="C21:D21">_xlfn.XLOOKUP(B21, B3:B16, C3:D16, {"Not Found",0})</f>
        <v>CAP LB LIQUID HAND SOAP TOTAL 1100TK 5L</v>
      </c>
      <c r="D21">
        <v>59874</v>
      </c>
      <c r="F21" s="9" t="s">
        <v>13</v>
      </c>
      <c r="G21" s="10">
        <v>276851</v>
      </c>
    </row>
  </sheetData>
  <mergeCells count="1">
    <mergeCell ref="B19:C19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2015-06-05T18:17:20Z</dcterms:created>
  <dcterms:modified xsi:type="dcterms:W3CDTF">2026-09-13T14:00:48Z</dcterms:modified>
</cp:coreProperties>
</file>
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J:\"/>
    </mc:Choice>
  </mc:AlternateContent>
  <xr:revisionPtr revIDLastSave="0" documentId="13_ncr:1_{7503F480-24D6-4EF8-9844-2B7C3470BAD2}" xr6:coauthVersionLast="47" xr6:coauthVersionMax="47" xr10:uidLastSave="{00000000-0000-0000-0000-000000000000}"/>
  <bookViews>
    <workbookView xWindow="2925" yWindow="1830" windowWidth="21675" windowHeight="12975" activeTab="1" xr2:uid="{00000000-000D-0000-FFFF-FFFF00000000}"/>
  </bookViews>
  <sheets>
    <sheet name="Vlookup" sheetId="1" r:id="rId1"/>
    <sheet name="Xlookup" sheetId="2" r:id="rId2"/>
  </sheets>
  <definedNames>
    <definedName name="_xlnm._FilterDatabase" localSheetId="0" hidden="1">Vlookup!$A$1:$G$15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2" l="1" a="1"/>
  <c r="B9" i="2" s="1"/>
  <c r="C9" i="2" a="1"/>
  <c r="C9" i="2" s="1"/>
  <c r="B2" i="2" a="1"/>
  <c r="B2" i="2" s="1"/>
  <c r="C36" i="1"/>
  <c r="B36" i="1"/>
  <c r="C29" i="1"/>
  <c r="B29" i="1"/>
  <c r="B23" i="1"/>
  <c r="G3" i="1"/>
  <c r="G4" i="1"/>
  <c r="G2" i="1"/>
  <c r="F3" i="1"/>
  <c r="F4" i="1"/>
  <c r="F2" i="1"/>
  <c r="E4" i="1"/>
  <c r="E3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<sst xmlns="http://schemas.openxmlformats.org/spreadsheetml/2006/main" count="42" uniqueCount="21">
  <si>
    <t>Name</t>
  </si>
  <si>
    <t>M Code</t>
  </si>
  <si>
    <t>M. Desc</t>
  </si>
  <si>
    <t>Qty</t>
  </si>
  <si>
    <t>T/CRTN GLOW&amp;HANDSOME FM CRM MEN PCR 25G</t>
  </si>
  <si>
    <t>T/CRTN GLOW&amp;HANDSOME FM MEN PCR 50G</t>
  </si>
  <si>
    <t>T/CRTN GLOW&amp;LOVELY MV CR GVN 300TK 100G</t>
  </si>
  <si>
    <t>T/CRTN GLOW&amp;LVELY GAL MVIT GVN 165TK 47G</t>
  </si>
  <si>
    <t>T/CRTN GLW&amp;LVLY MVCR GVN+SUNS15G CP 47G</t>
  </si>
  <si>
    <t>T/CRTN PDENT TP GC(190G+20G EX)170T 210G</t>
  </si>
  <si>
    <t>T/CRTN PDNT SEN EXP PRSNL KNZO 80G</t>
  </si>
  <si>
    <t>Count</t>
  </si>
  <si>
    <t>Avg</t>
  </si>
  <si>
    <t>T/CRTN GLOW&amp;HANDSOME FM CRM MEN PCR  25G</t>
  </si>
  <si>
    <t>M desc</t>
  </si>
  <si>
    <t>M code</t>
  </si>
  <si>
    <t>M Desc</t>
  </si>
  <si>
    <t>M Des</t>
  </si>
  <si>
    <t>Vlookup</t>
  </si>
  <si>
    <t>xlookup</t>
  </si>
  <si>
    <t>Xlookup idividual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</si>
</sst>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Border="1" applyAlignment="1"/>
    <xf numFmtId="2" fontId="0" fillId="0" borderId="0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/>
    <xf numFmtId="2" fontId="0" fillId="0" borderId="0" xfId="0" applyNumberFormat="1" applyFill="1" applyBorder="1" applyAlignment="1">
      <alignment horizontal="center"/>
    </xf>
    <xf numFmtId="0" fontId="3" fillId="0" borderId="0" xfId="0" applyFont="1" applyFill="1" applyBorder="1" applyAlignment="1"/>
    <xf numFmtId="2" fontId="0" fillId="0" borderId="0" xfId="0" applyNumberFormat="1" applyFill="1" applyBorder="1" applyAlignment="1"/>
    <xf numFmtId="0" fontId="0" fillId="0" borderId="0" xfId="0" applyBorder="1" applyAlignment="1">
      <alignment horizontal="left"/>
    </xf>
    <xf numFmtId="0" fontId="0" fillId="0" borderId="0" xfId="0" applyFill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wrapText="1"/>
    </xf>
    <xf numFmtId="0" fontId="4" fillId="3" borderId="0" xfId="0" applyFont="1" applyFill="1" applyAlignment="1">
      <alignment vertic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4" fillId="3" borderId="0" xfId="0" applyFont="1" applyFill="1" applyAlignment="1">
      <alignment horizontal="left" vertical="center"/>
    </xf>
    <xf numFmtId="2" fontId="4" fillId="3" borderId="0" xfId="0" applyNumberFormat="1" applyFont="1" applyFill="1" applyAlignment="1">
      <alignment horizontal="right" vertical="center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333333"/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opLeftCell="A12" workbookViewId="0">
      <selection activeCell="D18" sqref="D18"/>
    </sheetView>
  </sheetViews>
  <sheetFormatPr defaultRowHeight="15" x14ac:dyDescent="0.25"/>
  <cols>
    <col min="1" max="1" width="12" style="1" customWidth="1"/>
    <col min="2" max="2" width="46.28515625" bestFit="1" customWidth="1"/>
    <col min="3" max="3" width="13.42578125" style="2" customWidth="1"/>
    <col min="4" max="4" width="47.28515625" customWidth="1"/>
    <col min="5" max="5" width="12.7109375" style="2" customWidth="1"/>
    <col min="7" max="7" width="7.7109375" bestFit="1" customWidth="1"/>
  </cols>
  <sheetData>
    <row r="1" spans="1:7" ht="15.75" x14ac:dyDescent="0.25">
      <c r="A1" s="6" t="s">
        <v>1</v>
      </c>
      <c r="B1" s="7" t="s">
        <v>2</v>
      </c>
      <c r="C1" s="8" t="s">
        <v>3</v>
      </c>
      <c r="D1" s="7" t="s">
        <v>0</v>
      </c>
      <c r="E1" s="8" t="s">
        <v>3</v>
      </c>
      <c r="F1" s="7" t="s">
        <v>11</v>
      </c>
      <c r="G1" s="8" t="s">
        <v>12</v>
      </c>
    </row>
    <row r="2" spans="1:7" x14ac:dyDescent="0.25">
      <c r="A2" s="9">
        <v>69588121</v>
      </c>
      <c r="B2" s="10" t="s">
        <v>4</v>
      </c>
      <c r="C2" s="11">
        <v>5555</v>
      </c>
      <c r="D2" s="10" t="s">
        <v>13</v>
      </c>
      <c r="E2" s="12">
        <f>SUMIF($B$2:$B$15,D2,$C$2:$C$15)</f>
        <v>0</v>
      </c>
      <c r="F2" s="10">
        <f>COUNTIF($B$2:$B$16,D2)</f>
        <v>0</v>
      </c>
      <c r="G2" s="10" t="e">
        <f ca="1">AVERAGEIF($B$2:$B$16, D2,$C$2:$C$15)</f>
        <v>#DIV/0!</v>
      </c>
    </row>
    <row r="3" spans="1:7" x14ac:dyDescent="0.25">
      <c r="A3" s="9">
        <v>69588122</v>
      </c>
      <c r="B3" s="10" t="s">
        <v>5</v>
      </c>
      <c r="C3" s="11">
        <v>1542</v>
      </c>
      <c r="D3" s="10" t="s">
        <v>8</v>
      </c>
      <c r="E3" s="12">
        <f>SUMIF($B$2:$B$15,D3,$C$2:$C$15)</f>
        <v>9738</v>
      </c>
      <c r="F3" s="10">
        <f>COUNTIF($B$2:$B$16,D3)</f>
        <v>4</v>
      </c>
      <c r="G3" s="10">
        <f t="shared" ref="G3:G4" ca="1" si="0">AVERAGEIF($B$2:$B$16, D3,$C$2:$C$15)</f>
        <v>2434.5</v>
      </c>
    </row>
    <row r="4" spans="1:7" x14ac:dyDescent="0.25">
      <c r="A4" s="9">
        <v>65456815</v>
      </c>
      <c r="B4" s="10" t="s">
        <v>6</v>
      </c>
      <c r="C4" s="11">
        <v>1253</v>
      </c>
      <c r="D4" s="10" t="s">
        <v>10</v>
      </c>
      <c r="E4" s="12">
        <f>SUMIF($B$2:$B$15,D4,$C$2:$C$15)</f>
        <v>45896</v>
      </c>
      <c r="F4" s="10">
        <f>COUNTIF($B$2:$B$16,D4)</f>
        <v>1</v>
      </c>
      <c r="G4" s="10">
        <f t="shared" ca="1" si="0"/>
        <v>45896</v>
      </c>
    </row>
    <row r="5" spans="1:7" ht="16.5" customHeight="1" x14ac:dyDescent="0.25">
      <c r="A5" s="9">
        <v>65456808</v>
      </c>
      <c r="B5" s="10" t="s">
        <v>7</v>
      </c>
      <c r="C5" s="11">
        <v>1542</v>
      </c>
      <c r="D5" s="10"/>
      <c r="E5" s="12"/>
      <c r="F5" s="10"/>
      <c r="G5" s="10"/>
    </row>
    <row r="6" spans="1:7" x14ac:dyDescent="0.25">
      <c r="A6" s="9">
        <v>65543606</v>
      </c>
      <c r="B6" s="10" t="s">
        <v>8</v>
      </c>
      <c r="C6" s="11">
        <v>2589</v>
      </c>
      <c r="D6" s="10"/>
      <c r="E6" s="12"/>
      <c r="F6" s="10"/>
      <c r="G6" s="10"/>
    </row>
    <row r="7" spans="1:7" x14ac:dyDescent="0.25">
      <c r="A7" s="9">
        <v>65594719</v>
      </c>
      <c r="B7" s="10" t="s">
        <v>9</v>
      </c>
      <c r="C7" s="11">
        <v>458</v>
      </c>
      <c r="D7" s="10"/>
      <c r="E7" s="12"/>
      <c r="F7" s="10"/>
      <c r="G7" s="10"/>
    </row>
    <row r="8" spans="1:7" x14ac:dyDescent="0.25">
      <c r="A8" s="9">
        <v>69984701</v>
      </c>
      <c r="B8" s="10" t="s">
        <v>10</v>
      </c>
      <c r="C8" s="11">
        <v>45896</v>
      </c>
      <c r="D8" s="10"/>
      <c r="E8" s="12"/>
      <c r="F8" s="10"/>
      <c r="G8" s="10"/>
    </row>
    <row r="9" spans="1:7" x14ac:dyDescent="0.25">
      <c r="A9" s="9">
        <v>69588121</v>
      </c>
      <c r="B9" s="10" t="s">
        <v>4</v>
      </c>
      <c r="C9" s="11">
        <v>12563</v>
      </c>
      <c r="D9" s="10"/>
      <c r="E9" s="12"/>
      <c r="F9" s="10"/>
      <c r="G9" s="10"/>
    </row>
    <row r="10" spans="1:7" x14ac:dyDescent="0.25">
      <c r="A10" s="9">
        <v>69588121</v>
      </c>
      <c r="B10" s="10" t="s">
        <v>4</v>
      </c>
      <c r="C10" s="11">
        <v>1000</v>
      </c>
      <c r="D10" s="10"/>
      <c r="E10" s="12"/>
      <c r="F10" s="10"/>
      <c r="G10" s="10"/>
    </row>
    <row r="11" spans="1:7" x14ac:dyDescent="0.25">
      <c r="A11" s="9">
        <v>65543606</v>
      </c>
      <c r="B11" s="10" t="s">
        <v>8</v>
      </c>
      <c r="C11" s="11">
        <v>654</v>
      </c>
      <c r="D11" s="10"/>
      <c r="E11" s="12"/>
      <c r="F11" s="10"/>
      <c r="G11" s="10"/>
    </row>
    <row r="12" spans="1:7" x14ac:dyDescent="0.25">
      <c r="A12" s="9">
        <v>65543606</v>
      </c>
      <c r="B12" s="10" t="s">
        <v>8</v>
      </c>
      <c r="C12" s="11">
        <v>5895</v>
      </c>
      <c r="D12" s="10"/>
      <c r="E12" s="12"/>
      <c r="F12" s="10"/>
      <c r="G12" s="10"/>
    </row>
    <row r="13" spans="1:7" x14ac:dyDescent="0.25">
      <c r="A13" s="9">
        <v>65543606</v>
      </c>
      <c r="B13" s="10" t="s">
        <v>8</v>
      </c>
      <c r="C13" s="11">
        <v>600</v>
      </c>
      <c r="D13" s="10"/>
      <c r="E13" s="12"/>
      <c r="F13" s="10"/>
      <c r="G13" s="10"/>
    </row>
    <row r="14" spans="1:7" x14ac:dyDescent="0.25">
      <c r="A14" s="9">
        <v>69588122</v>
      </c>
      <c r="B14" s="10" t="s">
        <v>5</v>
      </c>
      <c r="C14" s="11">
        <v>354</v>
      </c>
      <c r="D14" s="10"/>
      <c r="E14" s="12"/>
      <c r="F14" s="10"/>
      <c r="G14" s="10"/>
    </row>
    <row r="15" spans="1:7" x14ac:dyDescent="0.25">
      <c r="A15" s="9">
        <v>69588122</v>
      </c>
      <c r="B15" s="10" t="s">
        <v>5</v>
      </c>
      <c r="C15" s="11">
        <v>215</v>
      </c>
      <c r="D15" s="10"/>
      <c r="E15" s="12"/>
      <c r="F15" s="10"/>
      <c r="G15" s="10"/>
    </row>
    <row r="16" spans="1:7" x14ac:dyDescent="0.25">
      <c r="A16" s="9"/>
      <c r="B16" s="10"/>
      <c r="C16" s="12"/>
      <c r="D16" s="10"/>
      <c r="E16" s="12"/>
      <c r="F16" s="10"/>
      <c r="G16" s="10"/>
    </row>
    <row r="17" spans="1:14" x14ac:dyDescent="0.25">
      <c r="A17" s="9"/>
      <c r="B17" s="10"/>
      <c r="C17" s="12"/>
      <c r="D17" s="10"/>
      <c r="E17" s="12"/>
      <c r="F17" s="10"/>
      <c r="G17" s="10"/>
    </row>
    <row r="20" spans="1:14" x14ac:dyDescent="0.25">
      <c r="E20" s="17"/>
      <c r="F20" s="18"/>
      <c r="G20" s="18"/>
      <c r="H20" s="18"/>
      <c r="I20" s="18"/>
      <c r="J20" s="18"/>
      <c r="K20" s="24"/>
      <c r="L20" s="24"/>
      <c r="M20" s="24"/>
      <c r="N20" s="24"/>
    </row>
    <row r="21" spans="1:14" x14ac:dyDescent="0.25">
      <c r="E21" s="25"/>
      <c r="F21" s="25"/>
      <c r="G21" s="25"/>
      <c r="H21" s="25"/>
      <c r="I21" s="25"/>
      <c r="J21" s="25"/>
      <c r="K21" s="25"/>
      <c r="L21" s="26"/>
      <c r="M21" s="18"/>
      <c r="N21" s="24"/>
    </row>
    <row r="22" spans="1:14" ht="15" customHeight="1" x14ac:dyDescent="0.25">
      <c r="A22" s="3" t="s">
        <v>1</v>
      </c>
      <c r="B22" s="4" t="s">
        <v>14</v>
      </c>
      <c r="C22" s="5" t="s">
        <v>3</v>
      </c>
      <c r="D22" s="23"/>
      <c r="E22" s="19"/>
      <c r="F22" s="19"/>
      <c r="G22" s="19"/>
      <c r="H22" s="19"/>
      <c r="I22" s="19"/>
      <c r="J22" s="19"/>
      <c r="K22" s="20"/>
      <c r="L22" s="18"/>
      <c r="M22" s="18"/>
      <c r="N22" s="24"/>
    </row>
    <row r="23" spans="1:14" ht="15" customHeight="1" x14ac:dyDescent="0.25">
      <c r="A23" s="9">
        <v>5685662</v>
      </c>
      <c r="B23" t="e">
        <f>VLOOKUP(A23,A1:G17,2,FALSE)</f>
        <v>#N/A</v>
      </c>
      <c r="D23" s="23"/>
      <c r="E23" s="15"/>
      <c r="F23" s="15"/>
      <c r="G23" s="15"/>
      <c r="H23" s="15"/>
      <c r="I23" s="15"/>
      <c r="J23" s="15"/>
      <c r="K23" s="16"/>
      <c r="L23" s="14"/>
      <c r="M23" s="14"/>
    </row>
    <row r="24" spans="1:14" ht="15" customHeight="1" x14ac:dyDescent="0.25">
      <c r="D24" s="23"/>
      <c r="E24" s="13"/>
      <c r="F24" s="13"/>
      <c r="G24" s="13"/>
      <c r="H24" s="13"/>
      <c r="I24" s="13"/>
      <c r="J24" s="13"/>
      <c r="K24" s="16"/>
      <c r="L24" s="14"/>
      <c r="M24" s="14"/>
    </row>
    <row r="25" spans="1:14" ht="15" customHeight="1" x14ac:dyDescent="0.25">
      <c r="D25" s="23"/>
      <c r="E25" s="14"/>
      <c r="F25" s="19"/>
      <c r="G25" s="19"/>
      <c r="H25" s="19"/>
      <c r="I25" s="19"/>
      <c r="J25" s="19"/>
      <c r="K25" s="16"/>
      <c r="L25" s="14"/>
      <c r="M25" s="14"/>
    </row>
    <row r="26" spans="1:14" ht="15" customHeight="1" x14ac:dyDescent="0.25">
      <c r="D26" s="23"/>
      <c r="E26" s="14"/>
      <c r="F26" s="21"/>
      <c r="G26" s="21"/>
      <c r="H26" s="21"/>
      <c r="I26" s="21"/>
      <c r="J26" s="21"/>
      <c r="K26" s="16"/>
      <c r="L26" s="14"/>
      <c r="M26" s="14"/>
    </row>
    <row r="27" spans="1:14" ht="15" customHeight="1" x14ac:dyDescent="0.25">
      <c r="A27" s="28" t="s">
        <v>18</v>
      </c>
      <c r="B27" s="28"/>
      <c r="C27" s="28"/>
      <c r="D27" s="23"/>
      <c r="E27" s="14"/>
      <c r="F27" s="19"/>
      <c r="G27" s="19"/>
      <c r="H27" s="19"/>
      <c r="I27" s="19"/>
      <c r="J27" s="19"/>
      <c r="K27" s="16"/>
      <c r="L27" s="14"/>
      <c r="M27" s="14"/>
    </row>
    <row r="28" spans="1:14" ht="15" customHeight="1" x14ac:dyDescent="0.25">
      <c r="A28" s="1" t="s">
        <v>15</v>
      </c>
      <c r="B28" t="s">
        <v>17</v>
      </c>
      <c r="C28" s="2" t="s">
        <v>3</v>
      </c>
      <c r="D28" s="23"/>
      <c r="E28" s="14"/>
      <c r="F28" s="21"/>
      <c r="G28" s="21"/>
      <c r="H28" s="21"/>
      <c r="I28" s="21"/>
      <c r="J28" s="21"/>
      <c r="K28" s="16"/>
      <c r="L28" s="14"/>
      <c r="M28" s="14"/>
    </row>
    <row r="29" spans="1:14" ht="15" customHeight="1" x14ac:dyDescent="0.25">
      <c r="A29" s="1">
        <v>69588122</v>
      </c>
      <c r="B29" t="str">
        <f>VLOOKUP(A29,A1:C16,2,)</f>
        <v>T/CRTN GLOW&amp;HANDSOME FM MEN PCR 50G</v>
      </c>
      <c r="C29" s="2">
        <f>VLOOKUP(A29,A1:C16,3,)</f>
        <v>1542</v>
      </c>
      <c r="D29" s="23"/>
      <c r="E29" s="14"/>
      <c r="F29" s="19"/>
      <c r="G29" s="19"/>
      <c r="H29" s="19"/>
      <c r="I29" s="19"/>
      <c r="J29" s="19"/>
      <c r="K29" s="16"/>
      <c r="L29" s="14"/>
      <c r="M29" s="14"/>
    </row>
    <row r="30" spans="1:14" ht="15" customHeight="1" x14ac:dyDescent="0.25">
      <c r="D30" s="23"/>
      <c r="E30" s="14"/>
      <c r="F30" s="21"/>
      <c r="G30" s="21"/>
      <c r="H30" s="21"/>
      <c r="I30" s="21"/>
      <c r="J30" s="21"/>
      <c r="K30" s="16"/>
      <c r="L30" s="14"/>
      <c r="M30" s="14"/>
    </row>
    <row r="31" spans="1:14" ht="15" customHeight="1" x14ac:dyDescent="0.25">
      <c r="D31" s="19"/>
      <c r="E31" s="19"/>
      <c r="F31" s="19"/>
      <c r="G31" s="19"/>
      <c r="H31" s="19"/>
      <c r="I31" s="19"/>
      <c r="J31" s="19"/>
      <c r="K31" s="14"/>
      <c r="L31" s="14"/>
      <c r="M31" s="14"/>
    </row>
    <row r="32" spans="1:14" ht="15" customHeight="1" x14ac:dyDescent="0.25">
      <c r="E32" s="19"/>
      <c r="F32" s="19"/>
      <c r="G32" s="21"/>
      <c r="H32" s="21"/>
      <c r="I32" s="21"/>
      <c r="J32" s="21"/>
      <c r="K32" s="21"/>
      <c r="L32" s="14"/>
      <c r="M32" s="14"/>
    </row>
    <row r="33" spans="1:13" ht="15" customHeight="1" x14ac:dyDescent="0.25">
      <c r="E33" s="19"/>
      <c r="F33" s="19"/>
      <c r="G33" s="19"/>
      <c r="H33" s="19"/>
      <c r="I33" s="19"/>
      <c r="J33" s="19"/>
      <c r="K33" s="19"/>
      <c r="L33" s="14"/>
      <c r="M33" s="14"/>
    </row>
    <row r="34" spans="1:13" ht="15" customHeight="1" x14ac:dyDescent="0.25">
      <c r="A34" s="28" t="s">
        <v>19</v>
      </c>
      <c r="B34" s="28"/>
      <c r="C34" s="28"/>
      <c r="E34" s="19"/>
      <c r="F34" s="19"/>
      <c r="G34" s="21"/>
      <c r="H34" s="21"/>
      <c r="I34" s="21"/>
      <c r="J34" s="21"/>
      <c r="K34" s="21"/>
    </row>
    <row r="35" spans="1:13" ht="15" customHeight="1" x14ac:dyDescent="0.25">
      <c r="A35" s="1" t="s">
        <v>1</v>
      </c>
      <c r="B35" t="s">
        <v>14</v>
      </c>
      <c r="C35" s="2" t="s">
        <v>3</v>
      </c>
      <c r="E35" s="19"/>
      <c r="F35" s="19"/>
      <c r="G35" s="19"/>
      <c r="H35" s="19"/>
      <c r="I35" s="19"/>
      <c r="J35" s="19"/>
      <c r="K35" s="19"/>
    </row>
    <row r="36" spans="1:13" ht="15" customHeight="1" x14ac:dyDescent="0.25">
      <c r="A36" s="9">
        <v>69984701</v>
      </c>
      <c r="B36" t="str">
        <f>_xlfn.XLOOKUP(A36,A2:A15,B2:B15,"Not Found")</f>
        <v>T/CRTN PDNT SEN EXP PRSNL KNZO 80G</v>
      </c>
      <c r="C36" s="2">
        <f>_xlfn.XLOOKUP(A36,A2:A15,C2:C15,"Not Found")</f>
        <v>45896</v>
      </c>
      <c r="E36" s="17"/>
      <c r="F36" s="19"/>
      <c r="G36" s="19"/>
      <c r="H36" s="22"/>
      <c r="I36" s="18"/>
      <c r="J36" s="18"/>
    </row>
    <row r="37" spans="1:13" x14ac:dyDescent="0.25">
      <c r="E37" s="17"/>
      <c r="F37" s="18"/>
      <c r="G37" s="18"/>
      <c r="H37" s="18"/>
      <c r="I37" s="18"/>
      <c r="J37" s="18"/>
    </row>
    <row r="38" spans="1:13" x14ac:dyDescent="0.25">
      <c r="E38" s="17"/>
      <c r="F38" s="18"/>
      <c r="G38" s="18"/>
      <c r="H38" s="18"/>
      <c r="I38" s="18"/>
      <c r="J38" s="18"/>
    </row>
  </sheetData>
  <sortState xmlns:xlrd2="http://schemas.microsoft.com/office/spreadsheetml/2017/richdata2" ref="C2:C15">
    <sortCondition descending="1" ref="C2:C15"/>
  </sortState>
  <mergeCells count="2">
    <mergeCell ref="A27:C27"/>
    <mergeCell ref="A34:C34"/>
  </mergeCells>
  <dataValidations count="1">
    <dataValidation type="list" allowBlank="1" showInputMessage="1" showErrorMessage="1" sqref="D1" xr:uid="{DEF09405-35A9-4EF4-B91A-A786C9F164B3}">
      <formula1>$B$2:$B$15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03F8-C5D6-4E50-9E00-A675C1E15C38}">
  <dimension ref="A1:C9"/>
  <sheetViews>
    <sheetView tabSelected="1" workbookViewId="0">
      <selection activeCell="G11" sqref="G11"/>
    </sheetView>
  </sheetViews>
  <sheetFormatPr defaultRowHeight="15" x14ac:dyDescent="0.25"/>
  <cols>
    <col min="1" max="1" width="13.42578125" style="1" customWidth="1"/>
    <col min="2" max="2" width="52.85546875" customWidth="1"/>
    <col min="3" max="3" width="14.140625" style="32" customWidth="1"/>
  </cols>
  <sheetData>
    <row r="1" spans="1:3" ht="21.75" customHeight="1" x14ac:dyDescent="0.25">
      <c r="A1" s="30" t="s">
        <v>1</v>
      </c>
      <c r="B1" s="27" t="s">
        <v>16</v>
      </c>
      <c r="C1" s="31" t="s">
        <v>3</v>
      </c>
    </row>
    <row r="2" spans="1:3" x14ac:dyDescent="0.25">
      <c r="A2" s="9">
        <v>69984701</v>
      </c>
      <c r="B2" t="str" cm="1">
        <f t="array" ref="B2:C2">_xlfn.XLOOKUP(A2,Vlookup!A:A,Vlookup!B:C,"NOT FOUND")</f>
        <v>T/CRTN PDNT SEN EXP PRSNL KNZO 80G</v>
      </c>
      <c r="C2" s="33">
        <v>45896</v>
      </c>
    </row>
    <row r="7" spans="1:3" x14ac:dyDescent="0.25">
      <c r="A7" s="29" t="s">
        <v>20</v>
      </c>
      <c r="B7" s="29"/>
      <c r="C7" s="29"/>
    </row>
    <row r="8" spans="1:3" ht="15.75" x14ac:dyDescent="0.25">
      <c r="A8" s="30" t="s">
        <v>1</v>
      </c>
      <c r="B8" s="27" t="s">
        <v>16</v>
      </c>
      <c r="C8" s="31" t="s">
        <v>3</v>
      </c>
    </row>
    <row r="9" spans="1:3" x14ac:dyDescent="0.25">
      <c r="A9" s="1">
        <v>65456808</v>
      </c>
      <c r="B9" t="str" cm="1">
        <f t="array" ref="B9">_xlfn.XLOOKUP($A$9,Vlookup!A2:$A$15,Vlookup!B2:$B$15,"Not Found")</f>
        <v>T/CRTN GLOW&amp;LVELY GAL MVIT GVN 165TK 47G</v>
      </c>
      <c r="C9" s="33" cm="1">
        <f t="array" ref="C9">_xlfn.XLOOKUP($A$9,Vlookup!A2:$A$15,Vlookup!C2:$C$15,"0")</f>
        <v>1542</v>
      </c>
    </row>
  </sheetData>
  <mergeCells count="1"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md.asraf uddin</dc:creator>
  <cp:lastModifiedBy>Md Ashraf Uddin</cp:lastModifiedBy>
  <dcterms:created xsi:type="dcterms:W3CDTF">2015-06-05T18:17:20Z</dcterms:created>
  <dcterms:modified xsi:type="dcterms:W3CDTF">2026-09-07T05:35:49Z</dcterms:modified>
</cp:coreProperties>
</file>
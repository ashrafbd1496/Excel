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13_ncr:1_{7C837CE3-6C6C-47F3-809E-BB5B749278E5}" xr6:coauthVersionLast="47" xr6:coauthVersionMax="47" xr10:uidLastSave="{00000000-0000-0000-0000-000000000000}"/>
  <bookViews>
    <workbookView xWindow="1995" yWindow="2055" windowWidth="14925" windowHeight="12255" xr2:uid="{00000000-000D-0000-FFFF-FFFF00000000}"/>
  </bookViews>
  <sheets>
    <sheet name="Export" sheetId="1" r:id="rId1"/>
    <sheet name="BatchTable" sheetId="2" r:id="rId2"/>
    <sheet name="Print" sheetId="3" r:id="rId3"/>
    <sheet name="Dashboard" sheetId="4" r:id="rId4"/>
  </sheets>
  <definedNames>
    <definedName name="_xlnm._FilterDatabase" localSheetId="2" hidden="1">Print!$A$1:$D$1000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E2" i="2"/>
  <c r="A3" i="2"/>
  <c r="B3" i="2"/>
  <c r="C3" i="2"/>
  <c r="D3" i="2"/>
  <c r="E3" i="2"/>
  <c r="A4" i="2"/>
  <c r="B4" i="2"/>
  <c r="A2" i="3" s="1" a="1"/>
  <c r="C4" i="2"/>
  <c r="D4" i="2"/>
  <c r="E4" i="2"/>
  <c r="A5" i="2"/>
  <c r="B5" i="2"/>
  <c r="C5" i="2"/>
  <c r="D5" i="2"/>
  <c r="E5" i="2"/>
  <c r="A6" i="2"/>
  <c r="B6" i="2"/>
  <c r="C6" i="2"/>
  <c r="D6" i="2"/>
  <c r="E6" i="2"/>
  <c r="G6" i="2" s="1"/>
  <c r="A7" i="2"/>
  <c r="B7" i="2"/>
  <c r="C7" i="2"/>
  <c r="D7" i="2"/>
  <c r="E7" i="2"/>
  <c r="G7" i="2" s="1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G11" i="2" s="1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G14" i="2" s="1"/>
  <c r="A15" i="2"/>
  <c r="B15" i="2"/>
  <c r="C15" i="2"/>
  <c r="D15" i="2"/>
  <c r="E15" i="2"/>
  <c r="G15" i="2" s="1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G19" i="2" s="1"/>
  <c r="A20" i="2"/>
  <c r="B20" i="2"/>
  <c r="C20" i="2"/>
  <c r="D20" i="2"/>
  <c r="E20" i="2"/>
  <c r="G18" i="2"/>
  <c r="G10" i="2"/>
  <c r="G3" i="2"/>
  <c r="G5" i="2" l="1"/>
  <c r="A8" i="3"/>
  <c r="A4" i="3"/>
  <c r="A7" i="3"/>
  <c r="A3" i="3"/>
  <c r="A6" i="3"/>
  <c r="A5" i="3"/>
  <c r="A2" i="3"/>
  <c r="G20" i="2"/>
  <c r="G13" i="2"/>
  <c r="G9" i="2"/>
  <c r="G17" i="2"/>
  <c r="G4" i="2"/>
  <c r="G8" i="2"/>
  <c r="G12" i="2"/>
  <c r="G16" i="2"/>
  <c r="G2" i="2"/>
  <c r="J2" i="2"/>
  <c r="D2" i="3" l="1" a="1"/>
  <c r="C2" i="3" a="1"/>
  <c r="B2" i="3" a="1"/>
  <c r="B8" i="3" l="1"/>
  <c r="B4" i="3"/>
  <c r="B7" i="3"/>
  <c r="B3" i="3"/>
  <c r="B6" i="3"/>
  <c r="B5" i="3"/>
  <c r="B2" i="3"/>
  <c r="C8" i="3"/>
  <c r="C4" i="3"/>
  <c r="C7" i="3"/>
  <c r="C3" i="3"/>
  <c r="C6" i="3"/>
  <c r="C5" i="3"/>
  <c r="C2" i="3"/>
  <c r="D8" i="3"/>
  <c r="D4" i="3"/>
  <c r="D7" i="3"/>
  <c r="D3" i="3"/>
  <c r="D6" i="3"/>
  <c r="D5" i="3"/>
  <c r="D2" i="3"/>
</calcChain>
</file>

<file path=xl/sharedStrings.xml><?xml version="1.0" encoding="utf-8"?>
<sst xmlns="http://schemas.openxmlformats.org/spreadsheetml/2006/main" count="98" uniqueCount="48">
  <si>
    <t>Plant</t>
  </si>
  <si>
    <t>Material</t>
  </si>
  <si>
    <t>Material Description</t>
  </si>
  <si>
    <t>Batch</t>
  </si>
  <si>
    <t>Unrestricted</t>
  </si>
  <si>
    <t>In Quality Insp.</t>
  </si>
  <si>
    <t>B001</t>
  </si>
  <si>
    <t>64822307</t>
  </si>
  <si>
    <t>T/CRTN CLOSE-UP TP LMN AND SEA SLT 140G</t>
  </si>
  <si>
    <t>261</t>
  </si>
  <si>
    <t>262</t>
  </si>
  <si>
    <t>95</t>
  </si>
  <si>
    <t>65068921</t>
  </si>
  <si>
    <t>T/CTN CLSE-UP TPST RED HOT HAILEE 145G</t>
  </si>
  <si>
    <t>259</t>
  </si>
  <si>
    <t>2910</t>
  </si>
  <si>
    <t>317</t>
  </si>
  <si>
    <t>65456801</t>
  </si>
  <si>
    <t>T/CRTN GLOW &amp; LOVELY GAL MVT GVN 95T 25G</t>
  </si>
  <si>
    <t>033</t>
  </si>
  <si>
    <t>89</t>
  </si>
  <si>
    <t>90</t>
  </si>
  <si>
    <t>65654605</t>
  </si>
  <si>
    <t>T/CAP POND'S FW BRGT BTY PNY PNK GLS 50G</t>
  </si>
  <si>
    <t>0005</t>
  </si>
  <si>
    <t>0007</t>
  </si>
  <si>
    <t>0008</t>
  </si>
  <si>
    <t>0009</t>
  </si>
  <si>
    <t>C Shift Issue Qty</t>
  </si>
  <si>
    <t>Available Qty</t>
  </si>
  <si>
    <t>Issue Qty</t>
  </si>
  <si>
    <t>Lookup Key</t>
  </si>
  <si>
    <t>SAP Batch Stock Dashboard</t>
  </si>
  <si>
    <t>📦 Total Materials
0</t>
  </si>
  <si>
    <t>🏷 Total Batches
0</t>
  </si>
  <si>
    <t>📊 Total Stock
0</t>
  </si>
  <si>
    <t>✅ Available Qty
0</t>
  </si>
  <si>
    <t>🚚 C Shift Issue
0</t>
  </si>
  <si>
    <t>Filters</t>
  </si>
  <si>
    <t>Storage Location</t>
  </si>
  <si>
    <t>Top 10 Materials by Available Qty</t>
  </si>
  <si>
    <t>Stock Status</t>
  </si>
  <si>
    <t>(Insert Pivot Chart)</t>
  </si>
  <si>
    <t>(Insert Doughnut Chart)</t>
  </si>
  <si>
    <t>Low Available Stock</t>
  </si>
  <si>
    <t>Recent C Shift Issue</t>
  </si>
  <si>
    <t>Description</t>
  </si>
  <si>
    <t>In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</si>
</sst>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1"/>
    </font>
    <font>
      <b/>
      <sz val="10"/>
      <color theme="0"/>
      <name val="Arial"/>
      <charset val="1"/>
    </font>
    <font>
      <sz val="11"/>
      <color rgb="FF242424"/>
      <name val="Aptos Narrow"/>
      <charset val="1"/>
    </font>
    <font>
      <b/>
      <sz val="10"/>
      <color theme="0"/>
      <name val="Arial"/>
      <family val="2"/>
      <charset val="1"/>
    </font>
    <font>
      <b/>
      <sz val="11"/>
      <color theme="0"/>
      <name val="Arial"/>
      <family val="2"/>
      <charset val="1"/>
    </font>
    <font>
      <b/>
      <sz val="11"/>
      <color theme="0"/>
      <name val="Arial"/>
      <charset val="1"/>
    </font>
    <font>
      <b/>
      <sz val="12"/>
      <color theme="0"/>
      <name val="Arial"/>
      <charset val="1"/>
    </font>
    <font>
      <b/>
      <sz val="12"/>
      <color theme="0"/>
      <name val="Aptos Narrow"/>
      <charset val="1"/>
    </font>
    <font>
      <b/>
      <sz val="18"/>
      <color rgb="FFFFFFFF"/>
      <name val="Calibri"/>
      <charset val="1"/>
    </font>
    <font>
      <b/>
      <sz val="12"/>
      <color rgb="FF333333"/>
      <name val="Calibri"/>
      <charset val="1"/>
    </font>
    <font>
      <b/>
      <sz val="11"/>
      <color rgb="FFFFFFFF"/>
      <name val="Calibri"/>
      <charset val="1"/>
    </font>
    <font>
      <b/>
      <sz val="10"/>
      <color theme="0"/>
      <name val="Arial"/>
      <family val="2"/>
    </font>
    <font>
      <b/>
      <sz val="11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/>
        <bgColor rgb="FFFF8080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  <fill>
      <patternFill patternType="solid">
        <fgColor rgb="FF5B9BD5"/>
        <bgColor rgb="FF969696"/>
      </patternFill>
    </fill>
    <fill>
      <patternFill patternType="solid">
        <fgColor theme="4" tint="-0.499984740745262"/>
        <bgColor rgb="FF96969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3" fontId="0" fillId="2" borderId="1" xfId="0" applyNumberFormat="1" applyFill="1" applyBorder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vertical="top"/>
    </xf>
    <xf numFmtId="0" fontId="0" fillId="0" borderId="0" xfId="0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0" fillId="0" borderId="3" xfId="0" applyFont="1" applyBorder="1" applyAlignment="1">
      <alignment horizontal="center"/>
    </xf>
    <xf numFmtId="0" fontId="10" fillId="4" borderId="0" xfId="0" applyFont="1" applyFill="1"/>
    <xf numFmtId="0" fontId="11" fillId="7" borderId="1" xfId="0" applyFont="1" applyFill="1" applyBorder="1" applyAlignment="1">
      <alignment vertical="top"/>
    </xf>
    <xf numFmtId="0" fontId="11" fillId="7" borderId="1" xfId="0" applyFont="1" applyFill="1" applyBorder="1" applyAlignment="1">
      <alignment horizontal="left" vertical="top"/>
    </xf>
    <xf numFmtId="0" fontId="12" fillId="7" borderId="0" xfId="0" applyFont="1" applyFill="1" applyAlignment="1">
      <alignment vertical="top"/>
    </xf>
    <xf numFmtId="0" fontId="11" fillId="8" borderId="0" xfId="0" applyFont="1" applyFill="1"/>
    <xf numFmtId="0" fontId="0" fillId="9" borderId="0" xfId="0" applyFill="1"/>
    <xf numFmtId="0" fontId="8" fillId="4" borderId="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242424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B23" sqref="B23"/>
    </sheetView>
  </sheetViews>
  <sheetFormatPr defaultColWidth="8.7109375" defaultRowHeight="12.75" customHeight="1" x14ac:dyDescent="0.2"/>
  <cols>
    <col min="2" max="2" width="54.42578125" customWidth="1"/>
    <col min="3" max="3" width="14.85546875" customWidth="1"/>
    <col min="4" max="4" width="11.42578125" customWidth="1"/>
    <col min="5" max="5" width="12.28515625" customWidth="1"/>
    <col min="6" max="6" width="17.85546875" customWidth="1"/>
  </cols>
  <sheetData>
    <row r="1" spans="1:7" ht="15" customHeight="1" x14ac:dyDescent="0.2">
      <c r="A1" s="25" t="s">
        <v>0</v>
      </c>
      <c r="B1" s="25" t="s">
        <v>2</v>
      </c>
      <c r="C1" s="26" t="s">
        <v>1</v>
      </c>
      <c r="D1" s="26" t="s">
        <v>3</v>
      </c>
      <c r="E1" s="25" t="s">
        <v>4</v>
      </c>
      <c r="F1" s="27" t="s">
        <v>5</v>
      </c>
      <c r="G1" s="28" t="s">
        <v>47</v>
      </c>
    </row>
    <row r="2" spans="1:7" x14ac:dyDescent="0.2">
      <c r="A2" s="1" t="s">
        <v>6</v>
      </c>
      <c r="B2" s="1" t="s">
        <v>8</v>
      </c>
      <c r="C2" s="2" t="s">
        <v>7</v>
      </c>
      <c r="D2" s="2" t="s">
        <v>9</v>
      </c>
      <c r="E2" s="3">
        <v>10200</v>
      </c>
    </row>
    <row r="3" spans="1:7" x14ac:dyDescent="0.2">
      <c r="A3" s="1" t="s">
        <v>6</v>
      </c>
      <c r="B3" s="1" t="s">
        <v>8</v>
      </c>
      <c r="C3" s="2" t="s">
        <v>7</v>
      </c>
      <c r="D3" s="2" t="s">
        <v>10</v>
      </c>
      <c r="E3" s="3">
        <v>49800</v>
      </c>
    </row>
    <row r="4" spans="1:7" x14ac:dyDescent="0.2">
      <c r="A4" s="1" t="s">
        <v>6</v>
      </c>
      <c r="B4" s="1" t="s">
        <v>8</v>
      </c>
      <c r="C4" s="2" t="s">
        <v>7</v>
      </c>
      <c r="D4" s="2" t="s">
        <v>11</v>
      </c>
      <c r="E4" s="3">
        <v>600</v>
      </c>
    </row>
    <row r="5" spans="1:7" x14ac:dyDescent="0.2">
      <c r="A5" s="1" t="s">
        <v>6</v>
      </c>
      <c r="B5" s="1" t="s">
        <v>13</v>
      </c>
      <c r="C5" s="2" t="s">
        <v>12</v>
      </c>
      <c r="D5" s="2" t="s">
        <v>14</v>
      </c>
      <c r="E5" s="3">
        <v>26400</v>
      </c>
    </row>
    <row r="6" spans="1:7" x14ac:dyDescent="0.2">
      <c r="A6" s="1" t="s">
        <v>6</v>
      </c>
      <c r="B6" s="1" t="s">
        <v>13</v>
      </c>
      <c r="C6" s="2" t="s">
        <v>12</v>
      </c>
      <c r="D6" s="2">
        <v>260</v>
      </c>
      <c r="E6" s="3">
        <v>13800</v>
      </c>
    </row>
    <row r="7" spans="1:7" x14ac:dyDescent="0.2">
      <c r="A7" s="1" t="s">
        <v>6</v>
      </c>
      <c r="B7" s="1" t="s">
        <v>13</v>
      </c>
      <c r="C7" s="2" t="s">
        <v>12</v>
      </c>
      <c r="D7" s="2" t="s">
        <v>15</v>
      </c>
      <c r="E7" s="3">
        <v>7200</v>
      </c>
    </row>
    <row r="8" spans="1:7" x14ac:dyDescent="0.2">
      <c r="A8" s="1" t="s">
        <v>6</v>
      </c>
      <c r="B8" s="1" t="s">
        <v>13</v>
      </c>
      <c r="C8" s="2" t="s">
        <v>12</v>
      </c>
      <c r="D8" s="2" t="s">
        <v>16</v>
      </c>
      <c r="E8" s="3">
        <v>40200</v>
      </c>
    </row>
    <row r="9" spans="1:7" x14ac:dyDescent="0.2">
      <c r="A9" s="1" t="s">
        <v>6</v>
      </c>
      <c r="B9" s="1" t="s">
        <v>18</v>
      </c>
      <c r="C9" s="2" t="s">
        <v>17</v>
      </c>
      <c r="D9" s="2" t="s">
        <v>19</v>
      </c>
      <c r="E9" s="3">
        <v>142800</v>
      </c>
    </row>
    <row r="10" spans="1:7" x14ac:dyDescent="0.2">
      <c r="A10" s="1" t="s">
        <v>6</v>
      </c>
      <c r="B10" s="1" t="s">
        <v>18</v>
      </c>
      <c r="C10" s="2" t="s">
        <v>17</v>
      </c>
      <c r="D10" s="2" t="s">
        <v>20</v>
      </c>
      <c r="E10" s="3">
        <v>3600</v>
      </c>
    </row>
    <row r="11" spans="1:7" x14ac:dyDescent="0.2">
      <c r="A11" s="1" t="s">
        <v>6</v>
      </c>
      <c r="B11" s="1" t="s">
        <v>18</v>
      </c>
      <c r="C11" s="2" t="s">
        <v>17</v>
      </c>
      <c r="D11" s="2" t="s">
        <v>21</v>
      </c>
      <c r="E11" s="3">
        <v>150000</v>
      </c>
    </row>
    <row r="12" spans="1:7" x14ac:dyDescent="0.2">
      <c r="A12" s="1" t="s">
        <v>6</v>
      </c>
      <c r="B12" s="1" t="s">
        <v>23</v>
      </c>
      <c r="C12" s="2" t="s">
        <v>22</v>
      </c>
      <c r="D12" s="2" t="s">
        <v>24</v>
      </c>
      <c r="E12" s="3">
        <v>55000</v>
      </c>
    </row>
    <row r="13" spans="1:7" x14ac:dyDescent="0.2">
      <c r="A13" s="1" t="s">
        <v>6</v>
      </c>
      <c r="B13" s="1" t="s">
        <v>23</v>
      </c>
      <c r="C13" s="2" t="s">
        <v>22</v>
      </c>
      <c r="D13" s="2" t="s">
        <v>25</v>
      </c>
      <c r="E13" s="3">
        <v>161920</v>
      </c>
    </row>
    <row r="14" spans="1:7" x14ac:dyDescent="0.2">
      <c r="A14" s="1" t="s">
        <v>6</v>
      </c>
      <c r="B14" s="1" t="s">
        <v>23</v>
      </c>
      <c r="C14" s="2" t="s">
        <v>22</v>
      </c>
      <c r="D14" s="2" t="s">
        <v>26</v>
      </c>
      <c r="E14" s="3">
        <v>245960</v>
      </c>
    </row>
    <row r="15" spans="1:7" x14ac:dyDescent="0.2">
      <c r="A15" s="1" t="s">
        <v>6</v>
      </c>
      <c r="B15" s="1" t="s">
        <v>23</v>
      </c>
      <c r="C15" s="2" t="s">
        <v>22</v>
      </c>
      <c r="D15" s="2" t="s">
        <v>27</v>
      </c>
      <c r="E15" s="3">
        <v>46200</v>
      </c>
    </row>
    <row r="16" spans="1:7" x14ac:dyDescent="0.2">
      <c r="A16" s="4"/>
      <c r="B16" s="4"/>
      <c r="C16" s="5"/>
      <c r="D16" s="5"/>
      <c r="E16" s="6">
        <v>954308</v>
      </c>
      <c r="F16" s="29"/>
      <c r="G16" s="29"/>
    </row>
    <row r="17" spans="3:4" x14ac:dyDescent="0.2">
      <c r="C17" s="2"/>
      <c r="D17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zoomScaleNormal="100" workbookViewId="0">
      <selection activeCell="F9" sqref="F9"/>
    </sheetView>
  </sheetViews>
  <sheetFormatPr defaultColWidth="8.7109375" defaultRowHeight="12.75" customHeight="1" x14ac:dyDescent="0.2"/>
  <cols>
    <col min="2" max="2" width="16.28515625" style="2" customWidth="1"/>
    <col min="3" max="3" width="51" customWidth="1"/>
    <col min="4" max="4" width="15" style="2" customWidth="1"/>
    <col min="5" max="5" width="12.140625" customWidth="1"/>
    <col min="6" max="6" width="16.140625" style="2" customWidth="1"/>
    <col min="7" max="7" width="17.28515625" style="2" customWidth="1"/>
    <col min="8" max="8" width="14.5703125" customWidth="1"/>
    <col min="9" max="9" width="17.140625" customWidth="1"/>
    <col min="10" max="10" width="20.42578125" customWidth="1"/>
  </cols>
  <sheetData>
    <row r="1" spans="1:10" ht="15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9" t="s">
        <v>28</v>
      </c>
      <c r="G1" s="9" t="s">
        <v>29</v>
      </c>
      <c r="H1" s="10" t="s">
        <v>5</v>
      </c>
      <c r="I1" s="11" t="s">
        <v>30</v>
      </c>
      <c r="J1" s="12" t="s">
        <v>31</v>
      </c>
    </row>
    <row r="2" spans="1:10" x14ac:dyDescent="0.2">
      <c r="A2" s="13" t="str">
        <f>IFERROR(INDEX(Export!$A$2:$G$9995,ROWS($A$2:$A2),MATCH(A$1,Export!$A$1:$G$1,0)),"")</f>
        <v>B001</v>
      </c>
      <c r="B2" s="14" t="str">
        <f>IFERROR(INDEX(Export!$A$2:$G$9995,ROWS($A$2:$A2),MATCH(B$1,Export!$A$1:$G$1,0)),"")</f>
        <v>64822307</v>
      </c>
      <c r="C2" s="13" t="str">
        <f>IFERROR(INDEX(Export!$A$2:$G$9995,ROWS($A$2:$A2),MATCH(C$1,Export!$A$1:$G$1,0)),"")</f>
        <v>T/CRTN CLOSE-UP TP LMN AND SEA SLT 140G</v>
      </c>
      <c r="D2" s="14" t="str">
        <f>IFERROR(INDEX(Export!$A$2:$G$9995,ROWS($A$2:$A2),MATCH(D$1,Export!$A$1:$G$1,0)),"")</f>
        <v>261</v>
      </c>
      <c r="E2" s="15">
        <f>IFERROR(INDEX(Export!$A$2:$G$9995,ROWS($A$2:$A2),MATCH(E$1,Export!$A$1:$G$1,0)),"")</f>
        <v>10200</v>
      </c>
      <c r="F2" s="14">
        <v>5000</v>
      </c>
      <c r="G2" s="14">
        <f t="shared" ref="G2:G20" si="0">E2-F2</f>
        <v>5200</v>
      </c>
      <c r="H2" s="13"/>
      <c r="I2" s="13">
        <v>80000</v>
      </c>
      <c r="J2" s="13" t="str">
        <f>A2&amp;"|"&amp;B2&amp;"|"&amp;C2</f>
        <v>B001|64822307|T/CRTN CLOSE-UP TP LMN AND SEA SLT 140G</v>
      </c>
    </row>
    <row r="3" spans="1:10" x14ac:dyDescent="0.2">
      <c r="A3" s="13" t="str">
        <f>IFERROR(INDEX(Export!$A$2:$G$9995,ROWS($A$2:$A3),MATCH(A$1,Export!$A$1:$G$1,0)),"")</f>
        <v>B001</v>
      </c>
      <c r="B3" s="14" t="str">
        <f>IFERROR(INDEX(Export!$A$2:$G$9995,ROWS($A$2:$A3),MATCH(B$1,Export!$A$1:$G$1,0)),"")</f>
        <v>64822307</v>
      </c>
      <c r="C3" s="13" t="str">
        <f>IFERROR(INDEX(Export!$A$2:$G$9995,ROWS($A$2:$A3),MATCH(C$1,Export!$A$1:$G$1,0)),"")</f>
        <v>T/CRTN CLOSE-UP TP LMN AND SEA SLT 140G</v>
      </c>
      <c r="D3" s="14" t="str">
        <f>IFERROR(INDEX(Export!$A$2:$G$9995,ROWS($A$2:$A3),MATCH(D$1,Export!$A$1:$G$1,0)),"")</f>
        <v>262</v>
      </c>
      <c r="E3" s="15">
        <f>IFERROR(INDEX(Export!$A$2:$G$9995,ROWS($A$2:$A3),MATCH(E$1,Export!$A$1:$G$1,0)),"")</f>
        <v>49800</v>
      </c>
      <c r="F3" s="14"/>
      <c r="G3" s="14">
        <f t="shared" si="0"/>
        <v>49800</v>
      </c>
      <c r="H3" s="13"/>
      <c r="I3" s="13"/>
      <c r="J3" s="13"/>
    </row>
    <row r="4" spans="1:10" x14ac:dyDescent="0.2">
      <c r="A4" s="13" t="str">
        <f>IFERROR(INDEX(Export!$A$2:$G$9995,ROWS($A$2:$A4),MATCH(A$1,Export!$A$1:$G$1,0)),"")</f>
        <v>B001</v>
      </c>
      <c r="B4" s="14" t="str">
        <f>IFERROR(INDEX(Export!$A$2:$G$9995,ROWS($A$2:$A4),MATCH(B$1,Export!$A$1:$G$1,0)),"")</f>
        <v>64822307</v>
      </c>
      <c r="C4" s="13" t="str">
        <f>IFERROR(INDEX(Export!$A$2:$G$9995,ROWS($A$2:$A4),MATCH(C$1,Export!$A$1:$G$1,0)),"")</f>
        <v>T/CRTN CLOSE-UP TP LMN AND SEA SLT 140G</v>
      </c>
      <c r="D4" s="14" t="str">
        <f>IFERROR(INDEX(Export!$A$2:$G$9995,ROWS($A$2:$A4),MATCH(D$1,Export!$A$1:$G$1,0)),"")</f>
        <v>95</v>
      </c>
      <c r="E4" s="15">
        <f>IFERROR(INDEX(Export!$A$2:$G$9995,ROWS($A$2:$A4),MATCH(E$1,Export!$A$1:$G$1,0)),"")</f>
        <v>600</v>
      </c>
      <c r="F4" s="14"/>
      <c r="G4" s="14">
        <f t="shared" si="0"/>
        <v>600</v>
      </c>
      <c r="H4" s="13"/>
      <c r="I4" s="13"/>
      <c r="J4" s="13"/>
    </row>
    <row r="5" spans="1:10" x14ac:dyDescent="0.2">
      <c r="A5" s="13" t="str">
        <f>IFERROR(INDEX(Export!$A$2:$G$9995,ROWS($A$2:$A5),MATCH(A$1,Export!$A$1:$G$1,0)),"")</f>
        <v>B001</v>
      </c>
      <c r="B5" s="14" t="str">
        <f>IFERROR(INDEX(Export!$A$2:$G$9995,ROWS($A$2:$A5),MATCH(B$1,Export!$A$1:$G$1,0)),"")</f>
        <v>65068921</v>
      </c>
      <c r="C5" s="13" t="str">
        <f>IFERROR(INDEX(Export!$A$2:$G$9995,ROWS($A$2:$A5),MATCH(C$1,Export!$A$1:$G$1,0)),"")</f>
        <v>T/CTN CLSE-UP TPST RED HOT HAILEE 145G</v>
      </c>
      <c r="D5" s="14" t="str">
        <f>IFERROR(INDEX(Export!$A$2:$G$9995,ROWS($A$2:$A5),MATCH(D$1,Export!$A$1:$G$1,0)),"")</f>
        <v>259</v>
      </c>
      <c r="E5" s="15">
        <f>IFERROR(INDEX(Export!$A$2:$G$9995,ROWS($A$2:$A5),MATCH(E$1,Export!$A$1:$G$1,0)),"")</f>
        <v>26400</v>
      </c>
      <c r="F5" s="14"/>
      <c r="G5" s="14">
        <f t="shared" si="0"/>
        <v>26400</v>
      </c>
      <c r="H5" s="13"/>
      <c r="I5" s="13"/>
      <c r="J5" s="13"/>
    </row>
    <row r="6" spans="1:10" x14ac:dyDescent="0.2">
      <c r="A6" s="13" t="str">
        <f>IFERROR(INDEX(Export!$A$2:$G$9995,ROWS($A$2:$A6),MATCH(A$1,Export!$A$1:$G$1,0)),"")</f>
        <v>B001</v>
      </c>
      <c r="B6" s="14" t="str">
        <f>IFERROR(INDEX(Export!$A$2:$G$9995,ROWS($A$2:$A6),MATCH(B$1,Export!$A$1:$G$1,0)),"")</f>
        <v>65068921</v>
      </c>
      <c r="C6" s="13" t="str">
        <f>IFERROR(INDEX(Export!$A$2:$G$9995,ROWS($A$2:$A6),MATCH(C$1,Export!$A$1:$G$1,0)),"")</f>
        <v>T/CTN CLSE-UP TPST RED HOT HAILEE 145G</v>
      </c>
      <c r="D6" s="14">
        <f>IFERROR(INDEX(Export!$A$2:$G$9995,ROWS($A$2:$A6),MATCH(D$1,Export!$A$1:$G$1,0)),"")</f>
        <v>260</v>
      </c>
      <c r="E6" s="15">
        <f>IFERROR(INDEX(Export!$A$2:$G$9995,ROWS($A$2:$A6),MATCH(E$1,Export!$A$1:$G$1,0)),"")</f>
        <v>13800</v>
      </c>
      <c r="F6" s="14"/>
      <c r="G6" s="14">
        <f t="shared" si="0"/>
        <v>13800</v>
      </c>
      <c r="H6" s="13"/>
      <c r="I6" s="13"/>
      <c r="J6" s="13"/>
    </row>
    <row r="7" spans="1:10" x14ac:dyDescent="0.2">
      <c r="A7" s="13" t="str">
        <f>IFERROR(INDEX(Export!$A$2:$G$9995,ROWS($A$2:$A7),MATCH(A$1,Export!$A$1:$G$1,0)),"")</f>
        <v>B001</v>
      </c>
      <c r="B7" s="14" t="str">
        <f>IFERROR(INDEX(Export!$A$2:$G$9995,ROWS($A$2:$A7),MATCH(B$1,Export!$A$1:$G$1,0)),"")</f>
        <v>65068921</v>
      </c>
      <c r="C7" s="13" t="str">
        <f>IFERROR(INDEX(Export!$A$2:$G$9995,ROWS($A$2:$A7),MATCH(C$1,Export!$A$1:$G$1,0)),"")</f>
        <v>T/CTN CLSE-UP TPST RED HOT HAILEE 145G</v>
      </c>
      <c r="D7" s="14" t="str">
        <f>IFERROR(INDEX(Export!$A$2:$G$9995,ROWS($A$2:$A7),MATCH(D$1,Export!$A$1:$G$1,0)),"")</f>
        <v>2910</v>
      </c>
      <c r="E7" s="15">
        <f>IFERROR(INDEX(Export!$A$2:$G$9995,ROWS($A$2:$A7),MATCH(E$1,Export!$A$1:$G$1,0)),"")</f>
        <v>7200</v>
      </c>
      <c r="F7" s="14"/>
      <c r="G7" s="14">
        <f t="shared" si="0"/>
        <v>7200</v>
      </c>
      <c r="H7" s="13"/>
      <c r="I7" s="13"/>
      <c r="J7" s="13"/>
    </row>
    <row r="8" spans="1:10" x14ac:dyDescent="0.2">
      <c r="A8" s="13" t="str">
        <f>IFERROR(INDEX(Export!$A$2:$G$9995,ROWS($A$2:$A8),MATCH(A$1,Export!$A$1:$G$1,0)),"")</f>
        <v>B001</v>
      </c>
      <c r="B8" s="14" t="str">
        <f>IFERROR(INDEX(Export!$A$2:$G$9995,ROWS($A$2:$A8),MATCH(B$1,Export!$A$1:$G$1,0)),"")</f>
        <v>65068921</v>
      </c>
      <c r="C8" s="13" t="str">
        <f>IFERROR(INDEX(Export!$A$2:$G$9995,ROWS($A$2:$A8),MATCH(C$1,Export!$A$1:$G$1,0)),"")</f>
        <v>T/CTN CLSE-UP TPST RED HOT HAILEE 145G</v>
      </c>
      <c r="D8" s="14" t="str">
        <f>IFERROR(INDEX(Export!$A$2:$G$9995,ROWS($A$2:$A8),MATCH(D$1,Export!$A$1:$G$1,0)),"")</f>
        <v>317</v>
      </c>
      <c r="E8" s="15">
        <f>IFERROR(INDEX(Export!$A$2:$G$9995,ROWS($A$2:$A8),MATCH(E$1,Export!$A$1:$G$1,0)),"")</f>
        <v>40200</v>
      </c>
      <c r="F8" s="14">
        <v>458921</v>
      </c>
      <c r="G8" s="14">
        <f t="shared" si="0"/>
        <v>-418721</v>
      </c>
      <c r="H8" s="13"/>
      <c r="I8" s="13"/>
      <c r="J8" s="13"/>
    </row>
    <row r="9" spans="1:10" x14ac:dyDescent="0.2">
      <c r="A9" s="13" t="str">
        <f>IFERROR(INDEX(Export!$A$2:$G$9995,ROWS($A$2:$A9),MATCH(A$1,Export!$A$1:$G$1,0)),"")</f>
        <v>B001</v>
      </c>
      <c r="B9" s="14" t="str">
        <f>IFERROR(INDEX(Export!$A$2:$G$9995,ROWS($A$2:$A9),MATCH(B$1,Export!$A$1:$G$1,0)),"")</f>
        <v>65456801</v>
      </c>
      <c r="C9" s="13" t="str">
        <f>IFERROR(INDEX(Export!$A$2:$G$9995,ROWS($A$2:$A9),MATCH(C$1,Export!$A$1:$G$1,0)),"")</f>
        <v>T/CRTN GLOW &amp; LOVELY GAL MVT GVN 95T 25G</v>
      </c>
      <c r="D9" s="14" t="str">
        <f>IFERROR(INDEX(Export!$A$2:$G$9995,ROWS($A$2:$A9),MATCH(D$1,Export!$A$1:$G$1,0)),"")</f>
        <v>033</v>
      </c>
      <c r="E9" s="15">
        <f>IFERROR(INDEX(Export!$A$2:$G$9995,ROWS($A$2:$A9),MATCH(E$1,Export!$A$1:$G$1,0)),"")</f>
        <v>142800</v>
      </c>
      <c r="F9" s="14"/>
      <c r="G9" s="14">
        <f t="shared" si="0"/>
        <v>142800</v>
      </c>
      <c r="H9" s="13"/>
      <c r="I9" s="13"/>
      <c r="J9" s="13"/>
    </row>
    <row r="10" spans="1:10" x14ac:dyDescent="0.2">
      <c r="A10" s="13" t="str">
        <f>IFERROR(INDEX(Export!$A$2:$G$9995,ROWS($A$2:$A10),MATCH(A$1,Export!$A$1:$G$1,0)),"")</f>
        <v>B001</v>
      </c>
      <c r="B10" s="14" t="str">
        <f>IFERROR(INDEX(Export!$A$2:$G$9995,ROWS($A$2:$A10),MATCH(B$1,Export!$A$1:$G$1,0)),"")</f>
        <v>65456801</v>
      </c>
      <c r="C10" s="13" t="str">
        <f>IFERROR(INDEX(Export!$A$2:$G$9995,ROWS($A$2:$A10),MATCH(C$1,Export!$A$1:$G$1,0)),"")</f>
        <v>T/CRTN GLOW &amp; LOVELY GAL MVT GVN 95T 25G</v>
      </c>
      <c r="D10" s="14" t="str">
        <f>IFERROR(INDEX(Export!$A$2:$G$9995,ROWS($A$2:$A10),MATCH(D$1,Export!$A$1:$G$1,0)),"")</f>
        <v>89</v>
      </c>
      <c r="E10" s="15">
        <f>IFERROR(INDEX(Export!$A$2:$G$9995,ROWS($A$2:$A10),MATCH(E$1,Export!$A$1:$G$1,0)),"")</f>
        <v>3600</v>
      </c>
      <c r="F10" s="14"/>
      <c r="G10" s="14">
        <f t="shared" si="0"/>
        <v>3600</v>
      </c>
      <c r="H10" s="13"/>
      <c r="I10" s="13"/>
      <c r="J10" s="13"/>
    </row>
    <row r="11" spans="1:10" x14ac:dyDescent="0.2">
      <c r="A11" s="13" t="str">
        <f>IFERROR(INDEX(Export!$A$2:$G$9995,ROWS($A$2:$A11),MATCH(A$1,Export!$A$1:$G$1,0)),"")</f>
        <v>B001</v>
      </c>
      <c r="B11" s="14" t="str">
        <f>IFERROR(INDEX(Export!$A$2:$G$9995,ROWS($A$2:$A11),MATCH(B$1,Export!$A$1:$G$1,0)),"")</f>
        <v>65456801</v>
      </c>
      <c r="C11" s="13" t="str">
        <f>IFERROR(INDEX(Export!$A$2:$G$9995,ROWS($A$2:$A11),MATCH(C$1,Export!$A$1:$G$1,0)),"")</f>
        <v>T/CRTN GLOW &amp; LOVELY GAL MVT GVN 95T 25G</v>
      </c>
      <c r="D11" s="14" t="str">
        <f>IFERROR(INDEX(Export!$A$2:$G$9995,ROWS($A$2:$A11),MATCH(D$1,Export!$A$1:$G$1,0)),"")</f>
        <v>90</v>
      </c>
      <c r="E11" s="15">
        <f>IFERROR(INDEX(Export!$A$2:$G$9995,ROWS($A$2:$A11),MATCH(E$1,Export!$A$1:$G$1,0)),"")</f>
        <v>150000</v>
      </c>
      <c r="F11" s="14"/>
      <c r="G11" s="14">
        <f t="shared" si="0"/>
        <v>150000</v>
      </c>
      <c r="H11" s="13"/>
      <c r="I11" s="13"/>
      <c r="J11" s="13"/>
    </row>
    <row r="12" spans="1:10" x14ac:dyDescent="0.2">
      <c r="A12" s="13" t="str">
        <f>IFERROR(INDEX(Export!$A$2:$G$9995,ROWS($A$2:$A12),MATCH(A$1,Export!$A$1:$G$1,0)),"")</f>
        <v>B001</v>
      </c>
      <c r="B12" s="14" t="str">
        <f>IFERROR(INDEX(Export!$A$2:$G$9995,ROWS($A$2:$A12),MATCH(B$1,Export!$A$1:$G$1,0)),"")</f>
        <v>65654605</v>
      </c>
      <c r="C12" s="13" t="str">
        <f>IFERROR(INDEX(Export!$A$2:$G$9995,ROWS($A$2:$A12),MATCH(C$1,Export!$A$1:$G$1,0)),"")</f>
        <v>T/CAP POND'S FW BRGT BTY PNY PNK GLS 50G</v>
      </c>
      <c r="D12" s="14" t="str">
        <f>IFERROR(INDEX(Export!$A$2:$G$9995,ROWS($A$2:$A12),MATCH(D$1,Export!$A$1:$G$1,0)),"")</f>
        <v>0005</v>
      </c>
      <c r="E12" s="15">
        <f>IFERROR(INDEX(Export!$A$2:$G$9995,ROWS($A$2:$A12),MATCH(E$1,Export!$A$1:$G$1,0)),"")</f>
        <v>55000</v>
      </c>
      <c r="F12" s="14"/>
      <c r="G12" s="14">
        <f t="shared" si="0"/>
        <v>55000</v>
      </c>
      <c r="H12" s="13"/>
      <c r="I12" s="13"/>
      <c r="J12" s="13"/>
    </row>
    <row r="13" spans="1:10" x14ac:dyDescent="0.2">
      <c r="A13" s="13" t="str">
        <f>IFERROR(INDEX(Export!$A$2:$G$9995,ROWS($A$2:$A13),MATCH(A$1,Export!$A$1:$G$1,0)),"")</f>
        <v>B001</v>
      </c>
      <c r="B13" s="14" t="str">
        <f>IFERROR(INDEX(Export!$A$2:$G$9995,ROWS($A$2:$A13),MATCH(B$1,Export!$A$1:$G$1,0)),"")</f>
        <v>65654605</v>
      </c>
      <c r="C13" s="13" t="str">
        <f>IFERROR(INDEX(Export!$A$2:$G$9995,ROWS($A$2:$A13),MATCH(C$1,Export!$A$1:$G$1,0)),"")</f>
        <v>T/CAP POND'S FW BRGT BTY PNY PNK GLS 50G</v>
      </c>
      <c r="D13" s="14" t="str">
        <f>IFERROR(INDEX(Export!$A$2:$G$9995,ROWS($A$2:$A13),MATCH(D$1,Export!$A$1:$G$1,0)),"")</f>
        <v>0007</v>
      </c>
      <c r="E13" s="15">
        <f>IFERROR(INDEX(Export!$A$2:$G$9995,ROWS($A$2:$A13),MATCH(E$1,Export!$A$1:$G$1,0)),"")</f>
        <v>161920</v>
      </c>
      <c r="F13" s="14"/>
      <c r="G13" s="14">
        <f t="shared" si="0"/>
        <v>161920</v>
      </c>
      <c r="H13" s="13"/>
      <c r="I13" s="13"/>
      <c r="J13" s="13"/>
    </row>
    <row r="14" spans="1:10" x14ac:dyDescent="0.2">
      <c r="A14" s="13" t="str">
        <f>IFERROR(INDEX(Export!$A$2:$G$9995,ROWS($A$2:$A14),MATCH(A$1,Export!$A$1:$G$1,0)),"")</f>
        <v>B001</v>
      </c>
      <c r="B14" s="14" t="str">
        <f>IFERROR(INDEX(Export!$A$2:$G$9995,ROWS($A$2:$A14),MATCH(B$1,Export!$A$1:$G$1,0)),"")</f>
        <v>65654605</v>
      </c>
      <c r="C14" s="13" t="str">
        <f>IFERROR(INDEX(Export!$A$2:$G$9995,ROWS($A$2:$A14),MATCH(C$1,Export!$A$1:$G$1,0)),"")</f>
        <v>T/CAP POND'S FW BRGT BTY PNY PNK GLS 50G</v>
      </c>
      <c r="D14" s="14" t="str">
        <f>IFERROR(INDEX(Export!$A$2:$G$9995,ROWS($A$2:$A14),MATCH(D$1,Export!$A$1:$G$1,0)),"")</f>
        <v>0008</v>
      </c>
      <c r="E14" s="15">
        <f>IFERROR(INDEX(Export!$A$2:$G$9995,ROWS($A$2:$A14),MATCH(E$1,Export!$A$1:$G$1,0)),"")</f>
        <v>245960</v>
      </c>
      <c r="F14" s="14"/>
      <c r="G14" s="14">
        <f t="shared" si="0"/>
        <v>245960</v>
      </c>
      <c r="H14" s="13"/>
      <c r="I14" s="13"/>
      <c r="J14" s="13"/>
    </row>
    <row r="15" spans="1:10" x14ac:dyDescent="0.2">
      <c r="A15" s="13" t="str">
        <f>IFERROR(INDEX(Export!$A$2:$G$9995,ROWS($A$2:$A15),MATCH(A$1,Export!$A$1:$G$1,0)),"")</f>
        <v>B001</v>
      </c>
      <c r="B15" s="14" t="str">
        <f>IFERROR(INDEX(Export!$A$2:$G$9995,ROWS($A$2:$A15),MATCH(B$1,Export!$A$1:$G$1,0)),"")</f>
        <v>65654605</v>
      </c>
      <c r="C15" s="13" t="str">
        <f>IFERROR(INDEX(Export!$A$2:$G$9995,ROWS($A$2:$A15),MATCH(C$1,Export!$A$1:$G$1,0)),"")</f>
        <v>T/CAP POND'S FW BRGT BTY PNY PNK GLS 50G</v>
      </c>
      <c r="D15" s="14" t="str">
        <f>IFERROR(INDEX(Export!$A$2:$G$9995,ROWS($A$2:$A15),MATCH(D$1,Export!$A$1:$G$1,0)),"")</f>
        <v>0009</v>
      </c>
      <c r="E15" s="15">
        <f>IFERROR(INDEX(Export!$A$2:$G$9995,ROWS($A$2:$A15),MATCH(E$1,Export!$A$1:$G$1,0)),"")</f>
        <v>46200</v>
      </c>
      <c r="F15" s="14"/>
      <c r="G15" s="14">
        <f t="shared" si="0"/>
        <v>46200</v>
      </c>
      <c r="H15" s="13"/>
      <c r="I15" s="13"/>
      <c r="J15" s="13"/>
    </row>
    <row r="16" spans="1:10" x14ac:dyDescent="0.2">
      <c r="A16" s="13">
        <f>IFERROR(INDEX(Export!$A$2:$G$9995,ROWS($A$2:$A16),MATCH(A$1,Export!$A$1:$G$1,0)),"")</f>
        <v>0</v>
      </c>
      <c r="B16" s="14">
        <f>IFERROR(INDEX(Export!$A$2:$G$9995,ROWS($A$2:$A16),MATCH(B$1,Export!$A$1:$G$1,0)),"")</f>
        <v>0</v>
      </c>
      <c r="C16" s="13">
        <f>IFERROR(INDEX(Export!$A$2:$G$9995,ROWS($A$2:$A16),MATCH(C$1,Export!$A$1:$G$1,0)),"")</f>
        <v>0</v>
      </c>
      <c r="D16" s="14">
        <f>IFERROR(INDEX(Export!$A$2:$G$9995,ROWS($A$2:$A16),MATCH(D$1,Export!$A$1:$G$1,0)),"")</f>
        <v>0</v>
      </c>
      <c r="E16" s="15">
        <f>IFERROR(INDEX(Export!$A$2:$G$9995,ROWS($A$2:$A16),MATCH(E$1,Export!$A$1:$G$1,0)),"")</f>
        <v>954308</v>
      </c>
      <c r="F16" s="14"/>
      <c r="G16" s="14">
        <f t="shared" si="0"/>
        <v>954308</v>
      </c>
      <c r="H16" s="13"/>
      <c r="I16" s="13"/>
      <c r="J16" s="13"/>
    </row>
    <row r="17" spans="1:10" x14ac:dyDescent="0.2">
      <c r="A17" s="13">
        <f>IFERROR(INDEX(Export!$A$2:$G$9995,ROWS($A$2:$A17),MATCH(A$1,Export!$A$1:$G$1,0)),"")</f>
        <v>0</v>
      </c>
      <c r="B17" s="14">
        <f>IFERROR(INDEX(Export!$A$2:$G$9995,ROWS($A$2:$A17),MATCH(B$1,Export!$A$1:$G$1,0)),"")</f>
        <v>0</v>
      </c>
      <c r="C17" s="13">
        <f>IFERROR(INDEX(Export!$A$2:$G$9995,ROWS($A$2:$A17),MATCH(C$1,Export!$A$1:$G$1,0)),"")</f>
        <v>0</v>
      </c>
      <c r="D17" s="14">
        <f>IFERROR(INDEX(Export!$A$2:$G$9995,ROWS($A$2:$A17),MATCH(D$1,Export!$A$1:$G$1,0)),"")</f>
        <v>0</v>
      </c>
      <c r="E17" s="15">
        <f>IFERROR(INDEX(Export!$A$2:$G$9995,ROWS($A$2:$A17),MATCH(E$1,Export!$A$1:$G$1,0)),"")</f>
        <v>0</v>
      </c>
      <c r="F17" s="14"/>
      <c r="G17" s="14">
        <f t="shared" si="0"/>
        <v>0</v>
      </c>
      <c r="H17" s="13"/>
      <c r="I17" s="13"/>
      <c r="J17" s="13"/>
    </row>
    <row r="18" spans="1:10" x14ac:dyDescent="0.2">
      <c r="A18" s="13">
        <f>IFERROR(INDEX(Export!$A$2:$G$9995,ROWS($A$2:$A18),MATCH(A$1,Export!$A$1:$G$1,0)),"")</f>
        <v>0</v>
      </c>
      <c r="B18" s="14">
        <f>IFERROR(INDEX(Export!$A$2:$G$9995,ROWS($A$2:$A18),MATCH(B$1,Export!$A$1:$G$1,0)),"")</f>
        <v>0</v>
      </c>
      <c r="C18" s="13">
        <f>IFERROR(INDEX(Export!$A$2:$G$9995,ROWS($A$2:$A18),MATCH(C$1,Export!$A$1:$G$1,0)),"")</f>
        <v>0</v>
      </c>
      <c r="D18" s="14">
        <f>IFERROR(INDEX(Export!$A$2:$G$9995,ROWS($A$2:$A18),MATCH(D$1,Export!$A$1:$G$1,0)),"")</f>
        <v>0</v>
      </c>
      <c r="E18" s="15">
        <f>IFERROR(INDEX(Export!$A$2:$G$9995,ROWS($A$2:$A18),MATCH(E$1,Export!$A$1:$G$1,0)),"")</f>
        <v>0</v>
      </c>
      <c r="F18" s="14"/>
      <c r="G18" s="14">
        <f t="shared" si="0"/>
        <v>0</v>
      </c>
      <c r="H18" s="13"/>
      <c r="I18" s="13"/>
      <c r="J18" s="13"/>
    </row>
    <row r="19" spans="1:10" x14ac:dyDescent="0.2">
      <c r="A19" s="13">
        <f>IFERROR(INDEX(Export!$A$2:$G$9995,ROWS($A$2:$A19),MATCH(A$1,Export!$A$1:$G$1,0)),"")</f>
        <v>0</v>
      </c>
      <c r="B19" s="14">
        <f>IFERROR(INDEX(Export!$A$2:$G$9995,ROWS($A$2:$A19),MATCH(B$1,Export!$A$1:$G$1,0)),"")</f>
        <v>0</v>
      </c>
      <c r="C19" s="13">
        <f>IFERROR(INDEX(Export!$A$2:$G$9995,ROWS($A$2:$A19),MATCH(C$1,Export!$A$1:$G$1,0)),"")</f>
        <v>0</v>
      </c>
      <c r="D19" s="14">
        <f>IFERROR(INDEX(Export!$A$2:$G$9995,ROWS($A$2:$A19),MATCH(D$1,Export!$A$1:$G$1,0)),"")</f>
        <v>0</v>
      </c>
      <c r="E19" s="15">
        <f>IFERROR(INDEX(Export!$A$2:$G$9995,ROWS($A$2:$A19),MATCH(E$1,Export!$A$1:$G$1,0)),"")</f>
        <v>0</v>
      </c>
      <c r="F19" s="14"/>
      <c r="G19" s="14">
        <f t="shared" si="0"/>
        <v>0</v>
      </c>
      <c r="H19" s="13"/>
      <c r="I19" s="13"/>
      <c r="J19" s="13"/>
    </row>
    <row r="20" spans="1:10" x14ac:dyDescent="0.2">
      <c r="A20" s="13">
        <f>IFERROR(INDEX(Export!$A$2:$G$9995,ROWS($A$2:$A20),MATCH(A$1,Export!$A$1:$G$1,0)),"")</f>
        <v>0</v>
      </c>
      <c r="B20" s="14">
        <f>IFERROR(INDEX(Export!$A$2:$G$9995,ROWS($A$2:$A20),MATCH(B$1,Export!$A$1:$G$1,0)),"")</f>
        <v>0</v>
      </c>
      <c r="C20" s="13">
        <f>IFERROR(INDEX(Export!$A$2:$G$9995,ROWS($A$2:$A20),MATCH(C$1,Export!$A$1:$G$1,0)),"")</f>
        <v>0</v>
      </c>
      <c r="D20" s="14">
        <f>IFERROR(INDEX(Export!$A$2:$G$9995,ROWS($A$2:$A20),MATCH(D$1,Export!$A$1:$G$1,0)),"")</f>
        <v>0</v>
      </c>
      <c r="E20" s="15">
        <f>IFERROR(INDEX(Export!$A$2:$G$9995,ROWS($A$2:$A20),MATCH(E$1,Export!$A$1:$G$1,0)),"")</f>
        <v>0</v>
      </c>
      <c r="F20" s="14"/>
      <c r="G20" s="14">
        <f t="shared" si="0"/>
        <v>0</v>
      </c>
      <c r="H20" s="13"/>
      <c r="I20" s="13"/>
      <c r="J20" s="13"/>
    </row>
    <row r="21" spans="1:10" x14ac:dyDescent="0.2">
      <c r="A21" s="13"/>
      <c r="B21" s="14"/>
      <c r="C21" s="13"/>
      <c r="D21" s="14"/>
      <c r="E21" s="13"/>
      <c r="F21" s="14"/>
      <c r="G21" s="14"/>
      <c r="H21" s="13"/>
      <c r="I21" s="13"/>
      <c r="J21" s="13"/>
    </row>
    <row r="22" spans="1:10" x14ac:dyDescent="0.2">
      <c r="A22" s="13"/>
      <c r="B22" s="14"/>
      <c r="C22" s="13"/>
      <c r="D22" s="14"/>
      <c r="E22" s="13"/>
      <c r="F22" s="14"/>
      <c r="G22" s="14"/>
      <c r="H22" s="13"/>
      <c r="I22" s="13"/>
      <c r="J22" s="13"/>
    </row>
    <row r="23" spans="1:10" x14ac:dyDescent="0.2">
      <c r="A23" s="13"/>
      <c r="B23" s="14"/>
      <c r="C23" s="13"/>
      <c r="D23" s="14"/>
      <c r="E23" s="13"/>
      <c r="F23" s="14"/>
      <c r="G23" s="14"/>
      <c r="H23" s="13"/>
      <c r="I23" s="13"/>
      <c r="J23" s="13"/>
    </row>
    <row r="24" spans="1:10" x14ac:dyDescent="0.2">
      <c r="A24" s="13"/>
      <c r="B24" s="14"/>
      <c r="C24" s="13"/>
      <c r="D24" s="14"/>
      <c r="E24" s="13"/>
      <c r="F24" s="14"/>
      <c r="G24" s="14"/>
      <c r="H24" s="13"/>
      <c r="I24" s="13"/>
      <c r="J24" s="13"/>
    </row>
    <row r="25" spans="1:10" x14ac:dyDescent="0.2">
      <c r="A25" s="13"/>
      <c r="B25" s="14"/>
      <c r="C25" s="13"/>
      <c r="D25" s="14"/>
      <c r="E25" s="13"/>
      <c r="F25" s="14"/>
      <c r="G25" s="14"/>
      <c r="H25" s="13"/>
      <c r="I25" s="13"/>
      <c r="J25" s="13"/>
    </row>
    <row r="26" spans="1:10" x14ac:dyDescent="0.2">
      <c r="A26" s="13"/>
      <c r="B26" s="14"/>
      <c r="C26" s="13"/>
      <c r="D26" s="14"/>
      <c r="E26" s="13"/>
      <c r="F26" s="14"/>
      <c r="G26" s="14"/>
      <c r="H26" s="13"/>
      <c r="I26" s="13"/>
      <c r="J26" s="13"/>
    </row>
    <row r="27" spans="1:10" x14ac:dyDescent="0.2">
      <c r="A27" s="13"/>
      <c r="B27" s="14"/>
      <c r="C27" s="13"/>
      <c r="D27" s="14"/>
      <c r="E27" s="13"/>
      <c r="F27" s="14"/>
      <c r="G27" s="14"/>
      <c r="H27" s="13"/>
      <c r="I27" s="13"/>
      <c r="J27" s="13"/>
    </row>
    <row r="28" spans="1:10" x14ac:dyDescent="0.2">
      <c r="A28" s="13"/>
      <c r="B28" s="14"/>
      <c r="C28" s="13"/>
      <c r="D28" s="14"/>
      <c r="E28" s="13"/>
      <c r="F28" s="14"/>
      <c r="G28" s="14"/>
      <c r="H28" s="13"/>
      <c r="I28" s="13"/>
      <c r="J28" s="13"/>
    </row>
    <row r="29" spans="1:10" x14ac:dyDescent="0.2">
      <c r="A29" s="13"/>
      <c r="B29" s="14"/>
      <c r="C29" s="13"/>
      <c r="D29" s="14"/>
      <c r="E29" s="13"/>
      <c r="F29" s="14"/>
      <c r="G29" s="14"/>
      <c r="H29" s="13"/>
      <c r="I29" s="13"/>
      <c r="J29" s="13"/>
    </row>
    <row r="30" spans="1:10" x14ac:dyDescent="0.2">
      <c r="A30" s="13"/>
      <c r="B30" s="14"/>
      <c r="C30" s="13"/>
      <c r="D30" s="14"/>
      <c r="E30" s="13"/>
      <c r="F30" s="14"/>
      <c r="G30" s="14"/>
      <c r="H30" s="13"/>
      <c r="I30" s="13"/>
      <c r="J30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pane ySplit="1" topLeftCell="A2" activePane="bottomLeft" state="frozen"/>
      <selection pane="bottomLeft" activeCell="B8" sqref="B8"/>
    </sheetView>
  </sheetViews>
  <sheetFormatPr defaultColWidth="8.7109375" defaultRowHeight="12.75" customHeight="1" x14ac:dyDescent="0.2"/>
  <cols>
    <col min="1" max="1" width="20.42578125" style="16" customWidth="1"/>
    <col min="2" max="2" width="52.5703125" customWidth="1"/>
    <col min="3" max="3" width="23.5703125" customWidth="1"/>
    <col min="4" max="4" width="14.85546875" customWidth="1"/>
  </cols>
  <sheetData>
    <row r="1" spans="1:4" ht="15.75" customHeight="1" x14ac:dyDescent="0.2">
      <c r="A1" s="17" t="s">
        <v>1</v>
      </c>
      <c r="B1" s="18" t="s">
        <v>2</v>
      </c>
      <c r="C1" s="19" t="s">
        <v>3</v>
      </c>
      <c r="D1" s="19" t="s">
        <v>29</v>
      </c>
    </row>
    <row r="2" spans="1:4" x14ac:dyDescent="0.2">
      <c r="A2" s="20" t="str">
        <f t="array" ref="A2:A8">_xlfn.UNIQUE(_xlfn._xlws.FILTER(BatchTable!B2:B10000,BatchTable!B2:B10000&lt;&gt;""))</f>
        <v>64822307</v>
      </c>
      <c r="B2" s="13" t="str">
        <f t="array" ref="B2:B8">_xlfn.XLOOKUP(_xlfn.ANCHORARRAY(A2),BatchTable!B2:B10000,BatchTable!C2:C10000,"")</f>
        <v>T/CRTN CLOSE-UP TP LMN AND SEA SLT 140G</v>
      </c>
      <c r="C2" s="13" t="str">
        <f t="array" ref="C2:C8">_xlfn.MAP(_xlfn.ANCHORARRAY(A2),_xlfn.LAMBDA(_xlpm.m,_xlfn.TEXTJOIN(", ",TRUE(),_xlfn._xlws.FILTER(BatchTable!D2:D10000,BatchTable!B2:B10000=_xlpm.m,""))))</f>
        <v>261, 262, 95</v>
      </c>
      <c r="D2" s="13">
        <f t="array" ref="D2:D8">_xlfn.MAP(_xlfn.ANCHORARRAY(A2),_xlfn.LAMBDA(_xlpm.m,SUMIF(BatchTable!B2:B10000,_xlpm.m,BatchTable!G2:G10000)))</f>
        <v>55600</v>
      </c>
    </row>
    <row r="3" spans="1:4" x14ac:dyDescent="0.2">
      <c r="A3" s="20" t="str">
        <v>65068921</v>
      </c>
      <c r="B3" s="13" t="str">
        <v>T/CTN CLSE-UP TPST RED HOT HAILEE 145G</v>
      </c>
      <c r="C3" s="13" t="str">
        <v>259, 260, 2910, 317</v>
      </c>
      <c r="D3" s="13">
        <v>-371321</v>
      </c>
    </row>
    <row r="4" spans="1:4" x14ac:dyDescent="0.2">
      <c r="A4" s="20" t="str">
        <v>65456801</v>
      </c>
      <c r="B4" s="13" t="str">
        <v>T/CRTN GLOW &amp; LOVELY GAL MVT GVN 95T 25G</v>
      </c>
      <c r="C4" s="13" t="str">
        <v>033, 89, 90</v>
      </c>
      <c r="D4" s="13">
        <v>296400</v>
      </c>
    </row>
    <row r="5" spans="1:4" x14ac:dyDescent="0.2">
      <c r="A5" s="20" t="str">
        <v>65654605</v>
      </c>
      <c r="B5" s="13" t="str">
        <v>T/CAP POND'S FW BRGT BTY PNY PNK GLS 50G</v>
      </c>
      <c r="C5" s="13" t="str">
        <v>0005, 0007, 0008, 0009</v>
      </c>
      <c r="D5" s="13">
        <v>509080</v>
      </c>
    </row>
    <row r="6" spans="1:4" x14ac:dyDescent="0.2">
      <c r="A6" s="20">
        <v>0</v>
      </c>
      <c r="B6" s="13">
        <v>0</v>
      </c>
      <c r="C6" s="13" t="str">
        <v>0, 0, 0, 0, 0</v>
      </c>
      <c r="D6" s="13">
        <v>954308</v>
      </c>
    </row>
    <row r="7" spans="1:4" x14ac:dyDescent="0.2">
      <c r="A7" s="20" t="e">
        <v>#N/A</v>
      </c>
      <c r="B7" s="13" t="e">
        <v>#N/A</v>
      </c>
      <c r="C7" s="13" t="e">
        <v>#N/A</v>
      </c>
      <c r="D7" s="13">
        <v>0</v>
      </c>
    </row>
    <row r="8" spans="1:4" x14ac:dyDescent="0.2">
      <c r="A8" s="20" t="e">
        <v>#N/A</v>
      </c>
      <c r="B8" s="13" t="e">
        <v>#N/A</v>
      </c>
      <c r="C8" s="13" t="e">
        <v>#N/A</v>
      </c>
      <c r="D8" s="13">
        <v>0</v>
      </c>
    </row>
    <row r="9" spans="1:4" x14ac:dyDescent="0.2">
      <c r="A9" s="20"/>
      <c r="B9" s="13"/>
      <c r="C9" s="13"/>
      <c r="D9" s="13"/>
    </row>
    <row r="10" spans="1:4" x14ac:dyDescent="0.2">
      <c r="A10" s="20"/>
      <c r="B10" s="13"/>
      <c r="C10" s="13"/>
      <c r="D10" s="13"/>
    </row>
    <row r="11" spans="1:4" x14ac:dyDescent="0.2">
      <c r="A11" s="20"/>
      <c r="B11" s="13"/>
      <c r="C11" s="13"/>
      <c r="D11" s="13"/>
    </row>
    <row r="12" spans="1:4" x14ac:dyDescent="0.2">
      <c r="A12" s="20"/>
      <c r="B12" s="13"/>
      <c r="C12" s="13"/>
      <c r="D12" s="13"/>
    </row>
    <row r="13" spans="1:4" x14ac:dyDescent="0.2">
      <c r="A13" s="20"/>
      <c r="B13" s="13"/>
      <c r="C13" s="13"/>
      <c r="D13" s="13"/>
    </row>
    <row r="14" spans="1:4" x14ac:dyDescent="0.2">
      <c r="A14" s="20"/>
      <c r="B14" s="13"/>
      <c r="C14" s="13"/>
      <c r="D14" s="13"/>
    </row>
    <row r="15" spans="1:4" x14ac:dyDescent="0.2">
      <c r="A15" s="20"/>
      <c r="B15" s="13"/>
      <c r="C15" s="13"/>
      <c r="D15" s="13"/>
    </row>
    <row r="16" spans="1:4" x14ac:dyDescent="0.2">
      <c r="A16" s="20"/>
      <c r="B16" s="13"/>
      <c r="C16" s="13"/>
      <c r="D16" s="13"/>
    </row>
    <row r="17" spans="1:4" x14ac:dyDescent="0.2">
      <c r="A17" s="20"/>
      <c r="B17" s="13"/>
      <c r="C17" s="13"/>
      <c r="D17" s="13"/>
    </row>
    <row r="18" spans="1:4" x14ac:dyDescent="0.2">
      <c r="A18" s="20"/>
      <c r="B18" s="13"/>
      <c r="C18" s="13"/>
      <c r="D18" s="13"/>
    </row>
    <row r="19" spans="1:4" x14ac:dyDescent="0.2">
      <c r="A19" s="20"/>
      <c r="B19" s="13"/>
      <c r="C19" s="13"/>
      <c r="D19" s="13"/>
    </row>
    <row r="20" spans="1:4" x14ac:dyDescent="0.2">
      <c r="A20" s="20"/>
      <c r="B20" s="13"/>
      <c r="C20" s="13"/>
      <c r="D20" s="13"/>
    </row>
    <row r="21" spans="1:4" x14ac:dyDescent="0.2">
      <c r="B21" s="1"/>
      <c r="C21" s="1"/>
      <c r="D21" s="21"/>
    </row>
    <row r="22" spans="1:4" x14ac:dyDescent="0.2">
      <c r="B22" s="1"/>
      <c r="C22" s="1"/>
      <c r="D22" s="21"/>
    </row>
    <row r="23" spans="1:4" x14ac:dyDescent="0.2">
      <c r="B23" s="1"/>
      <c r="C23" s="1"/>
      <c r="D23" s="21"/>
    </row>
    <row r="24" spans="1:4" x14ac:dyDescent="0.2">
      <c r="B24" s="1"/>
      <c r="C24" s="1"/>
      <c r="D24" s="21"/>
    </row>
    <row r="25" spans="1:4" x14ac:dyDescent="0.2">
      <c r="B25" s="1"/>
      <c r="C25" s="1"/>
      <c r="D25" s="21"/>
    </row>
    <row r="26" spans="1:4" x14ac:dyDescent="0.2">
      <c r="B26" s="1"/>
      <c r="C26" s="1"/>
      <c r="D26" s="21"/>
    </row>
    <row r="27" spans="1:4" x14ac:dyDescent="0.2">
      <c r="B27" s="1"/>
      <c r="C27" s="1"/>
      <c r="D27" s="21"/>
    </row>
    <row r="28" spans="1:4" x14ac:dyDescent="0.2">
      <c r="B28" s="1"/>
      <c r="C28" s="1"/>
      <c r="D28" s="21"/>
    </row>
    <row r="29" spans="1:4" x14ac:dyDescent="0.2">
      <c r="B29" s="1"/>
      <c r="C29" s="1"/>
      <c r="D29" s="21"/>
    </row>
    <row r="30" spans="1:4" x14ac:dyDescent="0.2">
      <c r="B30" s="1"/>
      <c r="C30" s="1"/>
      <c r="D30" s="21"/>
    </row>
  </sheetData>
  <autoFilter ref="A1:D1000" xr:uid="{00000000-0009-0000-0000-000002000000}"/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AND($A2&lt;&gt;"",$D2&lt;SUMIF(BatchTable!$B$2:$B$10000,$A2,BatchTable!$I$2:$I$10000))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D2:D1000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selection activeCell="H25" sqref="H25"/>
    </sheetView>
  </sheetViews>
  <sheetFormatPr defaultColWidth="9.140625" defaultRowHeight="12.75" customHeight="1" x14ac:dyDescent="0.2"/>
  <cols>
    <col min="1" max="1" width="22" customWidth="1"/>
    <col min="2" max="3" width="18" customWidth="1"/>
    <col min="4" max="4" width="6" customWidth="1"/>
    <col min="5" max="10" width="18" customWidth="1"/>
  </cols>
  <sheetData>
    <row r="1" spans="1:10" x14ac:dyDescent="0.2">
      <c r="A1" s="30" t="s">
        <v>32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">
      <c r="A2" s="30"/>
      <c r="B2" s="30"/>
      <c r="C2" s="30"/>
      <c r="D2" s="30"/>
      <c r="E2" s="30"/>
      <c r="F2" s="30"/>
      <c r="G2" s="30"/>
      <c r="H2" s="30"/>
      <c r="I2" s="30"/>
      <c r="J2" s="30"/>
    </row>
    <row r="4" spans="1:10" ht="12.75" customHeight="1" x14ac:dyDescent="0.2">
      <c r="A4" s="31" t="s">
        <v>33</v>
      </c>
      <c r="B4" s="31"/>
      <c r="C4" s="31" t="s">
        <v>34</v>
      </c>
      <c r="D4" s="31"/>
      <c r="E4" s="31" t="s">
        <v>35</v>
      </c>
      <c r="F4" s="31"/>
      <c r="G4" s="31" t="s">
        <v>36</v>
      </c>
      <c r="H4" s="31"/>
      <c r="I4" s="31" t="s">
        <v>37</v>
      </c>
      <c r="J4" s="31"/>
    </row>
    <row r="5" spans="1:10" x14ac:dyDescent="0.2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0" x14ac:dyDescent="0.2">
      <c r="A6" s="31"/>
      <c r="B6" s="31"/>
      <c r="C6" s="31"/>
      <c r="D6" s="31"/>
      <c r="E6" s="31"/>
      <c r="F6" s="31"/>
      <c r="G6" s="31"/>
      <c r="H6" s="31"/>
      <c r="I6" s="31"/>
      <c r="J6" s="31"/>
    </row>
    <row r="8" spans="1:10" ht="15" customHeight="1" x14ac:dyDescent="0.25">
      <c r="A8" s="32" t="s">
        <v>38</v>
      </c>
      <c r="B8" s="32"/>
      <c r="C8" s="32"/>
      <c r="D8" s="32"/>
      <c r="E8" s="32"/>
      <c r="F8" s="32"/>
      <c r="G8" s="32"/>
      <c r="H8" s="32"/>
      <c r="I8" s="32"/>
      <c r="J8" s="32"/>
    </row>
    <row r="9" spans="1:10" x14ac:dyDescent="0.2">
      <c r="A9" t="s">
        <v>39</v>
      </c>
      <c r="D9" t="s">
        <v>1</v>
      </c>
      <c r="G9" t="s">
        <v>3</v>
      </c>
    </row>
    <row r="11" spans="1:10" ht="15" customHeight="1" x14ac:dyDescent="0.25">
      <c r="A11" s="32" t="s">
        <v>40</v>
      </c>
      <c r="B11" s="32"/>
      <c r="C11" s="32"/>
      <c r="D11" s="32"/>
      <c r="E11" s="32"/>
      <c r="F11" s="32"/>
      <c r="G11" s="32" t="s">
        <v>41</v>
      </c>
      <c r="H11" s="32"/>
      <c r="I11" s="32"/>
      <c r="J11" s="32"/>
    </row>
    <row r="12" spans="1:10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</row>
    <row r="14" spans="1:10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0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spans="1:10" x14ac:dyDescent="0.2">
      <c r="A16" s="22"/>
      <c r="B16" s="23" t="s">
        <v>42</v>
      </c>
      <c r="C16" s="22"/>
      <c r="D16" s="22"/>
      <c r="E16" s="22"/>
      <c r="F16" s="22"/>
      <c r="G16" s="22"/>
      <c r="H16" s="23" t="s">
        <v>43</v>
      </c>
      <c r="I16" s="22"/>
      <c r="J16" s="22"/>
    </row>
    <row r="17" spans="1:10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spans="1:10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spans="1:10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spans="1:10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0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4" spans="1:10" ht="15" customHeight="1" x14ac:dyDescent="0.25">
      <c r="A24" s="32" t="s">
        <v>44</v>
      </c>
      <c r="B24" s="32"/>
      <c r="C24" s="32"/>
      <c r="D24" s="32"/>
      <c r="E24" s="32"/>
      <c r="F24" s="32" t="s">
        <v>45</v>
      </c>
      <c r="G24" s="32"/>
      <c r="H24" s="32"/>
      <c r="I24" s="32"/>
      <c r="J24" s="32"/>
    </row>
    <row r="25" spans="1:10" ht="15" customHeight="1" x14ac:dyDescent="0.25">
      <c r="A25" s="24" t="s">
        <v>1</v>
      </c>
      <c r="B25" s="24" t="s">
        <v>46</v>
      </c>
      <c r="C25" s="24" t="s">
        <v>29</v>
      </c>
      <c r="F25" s="24" t="s">
        <v>1</v>
      </c>
      <c r="G25" s="24" t="s">
        <v>3</v>
      </c>
      <c r="H25" s="24" t="s">
        <v>30</v>
      </c>
    </row>
  </sheetData>
  <mergeCells count="11">
    <mergeCell ref="A8:J8"/>
    <mergeCell ref="A11:F11"/>
    <mergeCell ref="G11:J11"/>
    <mergeCell ref="A24:E24"/>
    <mergeCell ref="F24:J24"/>
    <mergeCell ref="A1:J2"/>
    <mergeCell ref="A4:B6"/>
    <mergeCell ref="C4:D6"/>
    <mergeCell ref="E4:F6"/>
    <mergeCell ref="G4:H6"/>
    <mergeCell ref="I4:J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</vt:lpstr>
      <vt:lpstr>BatchTable</vt:lpstr>
      <vt:lpstr>Print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Ashraf Uddin</cp:lastModifiedBy>
  <dcterms:created xsi:type="dcterms:W3CDTF">2026-08-24T16:12:31Z</dcterms:created>
  <dcterms:modified xsi:type="dcterms:W3CDTF">2026-08-24T16:21:03Z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2026-08-02T09:10:08Z</dcterms:created>
  <dc:creator>SAP WebAS</dc:creator>
  <dc:description/>
  <dc:language>en-US</dc:language>
  <cp:lastModifiedBy>Md Ashraf Uddin</cp:lastModifiedBy>
  <dcterms:modified xsi:type="dcterms:W3CDTF">2026-08-16T03:27:52Z</dcterms:modified>
  <cp:revision>1</cp:revision>
  <dc:subject/>
  <dc:title/>
</cp:coreProperties>
</file>